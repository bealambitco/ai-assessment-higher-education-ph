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Primary outcomes" sheetId="3" state="visible" r:id="rId3"/>
    <sheet xmlns:r="http://schemas.openxmlformats.org/officeDocument/2006/relationships" name="Workflows" sheetId="4" state="visible" r:id="rId4"/>
    <sheet xmlns:r="http://schemas.openxmlformats.org/officeDocument/2006/relationships" name="Checks" sheetId="5" state="visible" r:id="rId5"/>
    <sheet xmlns:r="http://schemas.openxmlformats.org/officeDocument/2006/relationships" name="Sensitivity" sheetId="6" state="visible" r:id="rId6"/>
    <sheet xmlns:r="http://schemas.openxmlformats.org/officeDocument/2006/relationships" name="Timing" sheetId="7" state="visible" r:id="rId7"/>
    <sheet xmlns:r="http://schemas.openxmlformats.org/officeDocument/2006/relationships" name="Agreement" sheetId="8" state="visible" r:id="rId8"/>
    <sheet xmlns:r="http://schemas.openxmlformats.org/officeDocument/2006/relationships" name="Claude extension" sheetId="9" state="visible" r:id="rId9"/>
    <sheet xmlns:r="http://schemas.openxmlformats.org/officeDocument/2006/relationships" name="Document extension" sheetId="10" state="visible" r:id="rId10"/>
    <sheet xmlns:r="http://schemas.openxmlformats.org/officeDocument/2006/relationships" name="Costs and time" sheetId="11" state="visible" r:id="rId11"/>
    <sheet xmlns:r="http://schemas.openxmlformats.org/officeDocument/2006/relationships" name="Source checks" sheetId="12" state="visible" r:id="rId12"/>
    <sheet xmlns:r="http://schemas.openxmlformats.org/officeDocument/2006/relationships" name="Data dictionary" sheetId="13" state="visible" r:id="rId13"/>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
    <numFmt numFmtId="167" formatCode="&quot;US$&quot;#,##0.0000"/>
    <numFmt numFmtId="168" formatCode="&quot;US$&quot;#,##0.00"/>
    <numFmt numFmtId="169" formatCode="0.####"/>
  </numFmts>
  <fonts count="13">
    <font>
      <name val="Calibri"/>
      <family val="2"/>
      <color theme="1"/>
      <sz val="11"/>
      <scheme val="minor"/>
    </font>
    <font>
      <name val="Arial"/>
      <b val="1"/>
      <color rgb="000B1F3A"/>
      <sz val="16"/>
    </font>
    <font>
      <name val="Arial"/>
      <i val="1"/>
      <color rgb="005B6576"/>
      <sz val="10"/>
    </font>
    <font>
      <name val="Arial"/>
      <b val="1"/>
      <color rgb="000038A8"/>
      <sz val="12"/>
    </font>
    <font>
      <name val="Arial"/>
      <b val="1"/>
      <color rgb="00FFFFFF"/>
      <sz val="10"/>
    </font>
    <font>
      <name val="Arial"/>
      <b val="1"/>
      <color rgb="001F2937"/>
      <sz val="10"/>
    </font>
    <font>
      <name val="Arial"/>
      <color rgb="001F2937"/>
      <sz val="10"/>
    </font>
    <font>
      <name val="Arial"/>
      <i val="1"/>
      <color rgb="005B6576"/>
      <sz val="8"/>
    </font>
    <font>
      <name val="Arial"/>
      <b val="1"/>
      <color rgb="000B1F3A"/>
      <sz val="22"/>
    </font>
    <font>
      <name val="Arial"/>
      <color rgb="005B6576"/>
      <sz val="8"/>
    </font>
    <font>
      <name val="Arial"/>
      <b val="1"/>
      <color rgb="000038A8"/>
      <sz val="22"/>
    </font>
    <font>
      <name val="Arial"/>
      <b val="1"/>
      <color rgb="008A6100"/>
      <sz val="22"/>
    </font>
    <font>
      <name val="Arial"/>
      <b val="1"/>
      <color rgb="00CE1126"/>
      <sz val="22"/>
    </font>
  </fonts>
  <fills count="4">
    <fill>
      <patternFill/>
    </fill>
    <fill>
      <patternFill patternType="gray125"/>
    </fill>
    <fill>
      <patternFill patternType="solid">
        <fgColor rgb="000B1F3A"/>
      </patternFill>
    </fill>
    <fill>
      <patternFill patternType="solid">
        <fgColor rgb="00F3F5F8"/>
      </patternFill>
    </fill>
  </fills>
  <borders count="4">
    <border>
      <left/>
      <right/>
      <top/>
      <bottom/>
      <diagonal/>
    </border>
    <border>
      <bottom style="thin">
        <color rgb="00D5DAE1"/>
      </bottom>
    </border>
    <border>
      <top style="medium">
        <color rgb="000B1F3A"/>
      </top>
    </border>
    <border>
      <left/>
      <right/>
      <top/>
      <bottom style="thin">
        <color rgb="00D5DAE1"/>
      </bottom>
      <diagonal/>
    </border>
  </borders>
  <cellStyleXfs count="1">
    <xf numFmtId="0" fontId="0" fillId="0" borderId="0"/>
  </cellStyleXfs>
  <cellXfs count="75">
    <xf numFmtId="0" fontId="0" fillId="0" borderId="0" pivotButton="0" quotePrefix="0" xfId="0"/>
    <xf numFmtId="0" fontId="1" fillId="0" borderId="0" pivotButton="0" quotePrefix="0" xfId="0"/>
    <xf numFmtId="0" fontId="2" fillId="0" borderId="0" pivotButton="0" quotePrefix="0" xfId="0"/>
    <xf numFmtId="0" fontId="5" fillId="0" borderId="0" applyAlignment="1" pivotButton="0" quotePrefix="0" xfId="0">
      <alignment vertical="top"/>
    </xf>
    <xf numFmtId="0" fontId="6" fillId="0" borderId="0" applyAlignment="1" pivotButton="0" quotePrefix="0" xfId="0">
      <alignment vertical="top" wrapText="1"/>
    </xf>
    <xf numFmtId="0" fontId="3" fillId="0" borderId="0" pivotButton="0" quotePrefix="0" xfId="0"/>
    <xf numFmtId="0" fontId="8" fillId="3" borderId="0" applyAlignment="1" pivotButton="0" quotePrefix="0" xfId="0">
      <alignment horizontal="left" vertical="center" indent="1"/>
    </xf>
    <xf numFmtId="0" fontId="0" fillId="3" borderId="0" pivotButton="0" quotePrefix="0" xfId="0"/>
    <xf numFmtId="0" fontId="10" fillId="3" borderId="0" applyAlignment="1" pivotButton="0" quotePrefix="0" xfId="0">
      <alignment horizontal="left" vertical="center" indent="1"/>
    </xf>
    <xf numFmtId="0" fontId="5" fillId="3" borderId="0" applyAlignment="1" pivotButton="0" quotePrefix="0" xfId="0">
      <alignment horizontal="left" indent="1"/>
    </xf>
    <xf numFmtId="0" fontId="9" fillId="3" borderId="0" applyAlignment="1" pivotButton="0" quotePrefix="0" xfId="0">
      <alignment horizontal="left" vertical="top" wrapText="1" indent="1"/>
    </xf>
    <xf numFmtId="0" fontId="11" fillId="3" borderId="0" applyAlignment="1" pivotButton="0" quotePrefix="0" xfId="0">
      <alignment horizontal="left" vertical="center" indent="1"/>
    </xf>
    <xf numFmtId="0" fontId="12" fillId="3" borderId="0" applyAlignment="1" pivotButton="0" quotePrefix="0" xfId="0">
      <alignment horizontal="left" vertical="center" indent="1"/>
    </xf>
    <xf numFmtId="0" fontId="7" fillId="0" borderId="0" applyAlignment="1" pivotButton="0" quotePrefix="0" xfId="0">
      <alignment vertical="top"/>
    </xf>
    <xf numFmtId="0" fontId="7" fillId="0" borderId="0" pivotButton="0" quotePrefix="0" xfId="0"/>
    <xf numFmtId="0" fontId="4" fillId="2" borderId="0" applyAlignment="1" pivotButton="0" quotePrefix="0" xfId="0">
      <alignment horizontal="left" vertical="center" wrapText="1"/>
    </xf>
    <xf numFmtId="0" fontId="4" fillId="2" borderId="0" applyAlignment="1" pivotButton="0" quotePrefix="0" xfId="0">
      <alignment horizontal="center" vertical="center" wrapText="1"/>
    </xf>
    <xf numFmtId="0" fontId="5" fillId="0" borderId="1" applyAlignment="1" pivotButton="0" quotePrefix="0" xfId="0">
      <alignment horizontal="left" vertical="top"/>
    </xf>
    <xf numFmtId="3" fontId="6" fillId="0" borderId="1" applyAlignment="1" pivotButton="0" quotePrefix="0" xfId="0">
      <alignment horizontal="center" vertical="top"/>
    </xf>
    <xf numFmtId="9" fontId="6" fillId="0" borderId="1" applyAlignment="1" pivotButton="0" quotePrefix="0" xfId="0">
      <alignment horizontal="center" vertical="top"/>
    </xf>
    <xf numFmtId="164" fontId="6" fillId="0" borderId="1" applyAlignment="1" pivotButton="0" quotePrefix="0" xfId="0">
      <alignment horizontal="center" vertical="top"/>
    </xf>
    <xf numFmtId="0" fontId="5" fillId="3" borderId="1" applyAlignment="1" pivotButton="0" quotePrefix="0" xfId="0">
      <alignment horizontal="left" vertical="top"/>
    </xf>
    <xf numFmtId="3" fontId="6" fillId="3" borderId="1" applyAlignment="1" pivotButton="0" quotePrefix="0" xfId="0">
      <alignment horizontal="center" vertical="top"/>
    </xf>
    <xf numFmtId="9" fontId="6" fillId="3" borderId="1" applyAlignment="1" pivotButton="0" quotePrefix="0" xfId="0">
      <alignment horizontal="center" vertical="top"/>
    </xf>
    <xf numFmtId="164" fontId="6" fillId="3" borderId="1" applyAlignment="1" pivotButton="0" quotePrefix="0" xfId="0">
      <alignment horizontal="center" vertical="top"/>
    </xf>
    <xf numFmtId="2" fontId="6" fillId="0" borderId="1" applyAlignment="1" pivotButton="0" quotePrefix="0" xfId="0">
      <alignment horizontal="center" vertical="top"/>
    </xf>
    <xf numFmtId="2" fontId="6" fillId="3" borderId="1" applyAlignment="1" pivotButton="0" quotePrefix="0" xfId="0">
      <alignment horizontal="center" vertical="top"/>
    </xf>
    <xf numFmtId="0" fontId="6" fillId="0" borderId="0" pivotButton="0" quotePrefix="0" xfId="0"/>
    <xf numFmtId="0" fontId="6" fillId="0" borderId="1" applyAlignment="1" pivotButton="0" quotePrefix="0" xfId="0">
      <alignment horizontal="left" vertical="top"/>
    </xf>
    <xf numFmtId="0" fontId="6" fillId="3" borderId="1" applyAlignment="1" pivotButton="0" quotePrefix="0" xfId="0">
      <alignment horizontal="left" vertical="top"/>
    </xf>
    <xf numFmtId="0" fontId="6" fillId="0" borderId="1" applyAlignment="1" pivotButton="0" quotePrefix="0" xfId="0">
      <alignment horizontal="left" vertical="top" wrapText="1"/>
    </xf>
    <xf numFmtId="0" fontId="6" fillId="3"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1" applyAlignment="1" pivotButton="0" quotePrefix="0" xfId="0">
      <alignment horizontal="center" vertical="top" wrapText="1"/>
    </xf>
    <xf numFmtId="0" fontId="6" fillId="3" borderId="1" applyAlignment="1" pivotButton="0" quotePrefix="0" xfId="0">
      <alignment horizontal="center" vertical="top" wrapText="1"/>
    </xf>
    <xf numFmtId="0" fontId="5" fillId="3" borderId="1" applyAlignment="1" pivotButton="0" quotePrefix="0" xfId="0">
      <alignment horizontal="left" vertical="top" wrapText="1"/>
    </xf>
    <xf numFmtId="1" fontId="6" fillId="0" borderId="1" applyAlignment="1" pivotButton="0" quotePrefix="0" xfId="0">
      <alignment horizontal="center" vertical="top"/>
    </xf>
    <xf numFmtId="165" fontId="6" fillId="0" borderId="1" applyAlignment="1" pivotButton="0" quotePrefix="0" xfId="0">
      <alignment horizontal="center" vertical="top"/>
    </xf>
    <xf numFmtId="1" fontId="6" fillId="3" borderId="1" applyAlignment="1" pivotButton="0" quotePrefix="0" xfId="0">
      <alignment horizontal="center" vertical="top"/>
    </xf>
    <xf numFmtId="165" fontId="6" fillId="3" borderId="1" applyAlignment="1" pivotButton="0" quotePrefix="0" xfId="0">
      <alignment horizontal="center" vertical="top"/>
    </xf>
    <xf numFmtId="9" fontId="6" fillId="0" borderId="0" pivotButton="0" quotePrefix="0" xfId="0"/>
    <xf numFmtId="0" fontId="6" fillId="0" borderId="1" applyAlignment="1" pivotButton="0" quotePrefix="0" xfId="0">
      <alignment vertical="top" wrapText="1"/>
    </xf>
    <xf numFmtId="0" fontId="6" fillId="3" borderId="1" applyAlignment="1" pivotButton="0" quotePrefix="0" xfId="0">
      <alignment vertical="top" wrapText="1"/>
    </xf>
    <xf numFmtId="166" fontId="6" fillId="0" borderId="1" applyAlignment="1" pivotButton="0" quotePrefix="0" xfId="0">
      <alignment horizontal="center" vertical="top"/>
    </xf>
    <xf numFmtId="167" fontId="6" fillId="0" borderId="1" applyAlignment="1" pivotButton="0" quotePrefix="0" xfId="0">
      <alignment horizontal="center" vertical="top"/>
    </xf>
    <xf numFmtId="166" fontId="6" fillId="3" borderId="1" applyAlignment="1" pivotButton="0" quotePrefix="0" xfId="0">
      <alignment horizontal="center" vertical="top"/>
    </xf>
    <xf numFmtId="167" fontId="6" fillId="3" borderId="1" applyAlignment="1" pivotButton="0" quotePrefix="0" xfId="0">
      <alignment horizontal="center" vertical="top"/>
    </xf>
    <xf numFmtId="0" fontId="5" fillId="0" borderId="0" applyAlignment="1" pivotButton="0" quotePrefix="0" xfId="0">
      <alignment horizontal="left"/>
    </xf>
    <xf numFmtId="0" fontId="5" fillId="0" borderId="0" applyAlignment="1" pivotButton="0" quotePrefix="0" xfId="0">
      <alignment horizontal="center"/>
    </xf>
    <xf numFmtId="3" fontId="5" fillId="0" borderId="0" applyAlignment="1" pivotButton="0" quotePrefix="0" xfId="0">
      <alignment horizontal="center"/>
    </xf>
    <xf numFmtId="166" fontId="5" fillId="0" borderId="0" applyAlignment="1" pivotButton="0" quotePrefix="0" xfId="0">
      <alignment horizontal="center"/>
    </xf>
    <xf numFmtId="167" fontId="5" fillId="0" borderId="0" applyAlignment="1" pivotButton="0" quotePrefix="0" xfId="0">
      <alignment horizontal="center"/>
    </xf>
    <xf numFmtId="9" fontId="5" fillId="0" borderId="0" applyAlignment="1" pivotButton="0" quotePrefix="0" xfId="0">
      <alignment horizontal="center"/>
    </xf>
    <xf numFmtId="3" fontId="6" fillId="0" borderId="1" applyAlignment="1" pivotButton="0" quotePrefix="0" xfId="0">
      <alignment horizontal="center" vertical="top" wrapText="1"/>
    </xf>
    <xf numFmtId="166" fontId="6" fillId="0" borderId="1" applyAlignment="1" pivotButton="0" quotePrefix="0" xfId="0">
      <alignment horizontal="center" vertical="top" wrapText="1"/>
    </xf>
    <xf numFmtId="167" fontId="6" fillId="0" borderId="1" applyAlignment="1" pivotButton="0" quotePrefix="0" xfId="0">
      <alignment horizontal="center" vertical="top" wrapText="1"/>
    </xf>
    <xf numFmtId="9" fontId="6" fillId="0" borderId="1" applyAlignment="1" pivotButton="0" quotePrefix="0" xfId="0">
      <alignment horizontal="center" vertical="top" wrapText="1"/>
    </xf>
    <xf numFmtId="3" fontId="6" fillId="3" borderId="1" applyAlignment="1" pivotButton="0" quotePrefix="0" xfId="0">
      <alignment horizontal="center" vertical="top" wrapText="1"/>
    </xf>
    <xf numFmtId="166" fontId="6" fillId="3" borderId="1" applyAlignment="1" pivotButton="0" quotePrefix="0" xfId="0">
      <alignment horizontal="center" vertical="top" wrapText="1"/>
    </xf>
    <xf numFmtId="167" fontId="6" fillId="3" borderId="1" applyAlignment="1" pivotButton="0" quotePrefix="0" xfId="0">
      <alignment horizontal="center" vertical="top" wrapText="1"/>
    </xf>
    <xf numFmtId="9" fontId="6" fillId="3" borderId="1" applyAlignment="1" pivotButton="0" quotePrefix="0" xfId="0">
      <alignment horizontal="center" vertical="top" wrapText="1"/>
    </xf>
    <xf numFmtId="0" fontId="5" fillId="0" borderId="0" pivotButton="0" quotePrefix="0" xfId="0"/>
    <xf numFmtId="168" fontId="6" fillId="0" borderId="1" applyAlignment="1" pivotButton="0" quotePrefix="0" xfId="0">
      <alignment horizontal="center" vertical="top"/>
    </xf>
    <xf numFmtId="168" fontId="6" fillId="3" borderId="1" applyAlignment="1" pivotButton="0" quotePrefix="0" xfId="0">
      <alignment horizontal="center" vertical="top"/>
    </xf>
    <xf numFmtId="0" fontId="5" fillId="0" borderId="2" applyAlignment="1" pivotButton="0" quotePrefix="0" xfId="0">
      <alignment horizontal="left"/>
    </xf>
    <xf numFmtId="0" fontId="5" fillId="0" borderId="2" applyAlignment="1" pivotButton="0" quotePrefix="0" xfId="0">
      <alignment horizontal="center"/>
    </xf>
    <xf numFmtId="3" fontId="5" fillId="0" borderId="2" applyAlignment="1" pivotButton="0" quotePrefix="0" xfId="0">
      <alignment horizontal="center"/>
    </xf>
    <xf numFmtId="168" fontId="5" fillId="0" borderId="2" applyAlignment="1" pivotButton="0" quotePrefix="0" xfId="0">
      <alignment horizontal="center"/>
    </xf>
    <xf numFmtId="0" fontId="4" fillId="2" borderId="0" applyAlignment="1" pivotButton="0" quotePrefix="0" xfId="0">
      <alignment horizontal="left" vertical="top"/>
    </xf>
    <xf numFmtId="0" fontId="0" fillId="0" borderId="3" pivotButton="0" quotePrefix="0" xfId="0"/>
    <xf numFmtId="168" fontId="6" fillId="0" borderId="0" pivotButton="0" quotePrefix="0" xfId="0"/>
    <xf numFmtId="169" fontId="6" fillId="0" borderId="1" applyAlignment="1" pivotButton="0" quotePrefix="0" xfId="0">
      <alignment horizontal="center" vertical="top"/>
    </xf>
    <xf numFmtId="0" fontId="6" fillId="0" borderId="1" applyAlignment="1" pivotButton="0" quotePrefix="0" xfId="0">
      <alignment horizontal="center" vertical="top"/>
    </xf>
    <xf numFmtId="169" fontId="6" fillId="3" borderId="1" applyAlignment="1" pivotButton="0" quotePrefix="0" xfId="0">
      <alignment horizontal="center" vertical="top"/>
    </xf>
    <xf numFmtId="0" fontId="6"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0B1F3A"/>
                </a:solidFill>
                <a:latin typeface="Arial"/>
              </a:defRPr>
            </a:pPr>
            <a:r>
              <a:rPr sz="1100" b="1">
                <a:solidFill>
                  <a:srgbClr val="0B1F3A"/>
                </a:solidFill>
                <a:latin typeface="Arial"/>
              </a:rPr>
              <a:t>Checks added no useful releases and cost 7 (Astra) and 9 (Luna) of 24 scored acceptable answers</a:t>
            </a:r>
          </a:p>
        </rich>
      </tx>
      <overlay val="0"/>
    </title>
    <plotArea>
      <barChart>
        <barDir val="col"/>
        <grouping val="clustered"/>
        <ser>
          <idx val="0"/>
          <order val="0"/>
          <tx>
            <strRef>
              <f>'Primary outcomes'!B25</f>
            </strRef>
          </tx>
          <spPr>
            <a:solidFill xmlns:a="http://schemas.openxmlformats.org/drawingml/2006/main">
              <a:srgbClr val="8A94A6"/>
            </a:solidFill>
            <a:ln xmlns:a="http://schemas.openxmlformats.org/drawingml/2006/main">
              <a:solidFill>
                <a:srgbClr val="8A94A6"/>
              </a:solidFill>
              <a:prstDash val="solid"/>
            </a:ln>
          </spPr>
          <dLbls>
            <numFmt formatCode="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'Primary outcomes'!$A$26:$A$27</f>
            </strRef>
          </cat>
          <val>
            <numRef>
              <f>'Primary outcomes'!$B$26:$B$27</f>
            </numRef>
          </val>
        </ser>
        <ser>
          <idx val="1"/>
          <order val="1"/>
          <tx>
            <strRef>
              <f>'Primary outcomes'!C25</f>
            </strRef>
          </tx>
          <spPr>
            <a:solidFill xmlns:a="http://schemas.openxmlformats.org/drawingml/2006/main">
              <a:srgbClr val="0038A8"/>
            </a:solidFill>
            <a:ln xmlns:a="http://schemas.openxmlformats.org/drawingml/2006/main">
              <a:solidFill>
                <a:srgbClr val="0038A8"/>
              </a:solidFill>
              <a:prstDash val="solid"/>
            </a:ln>
          </spPr>
          <dLbls>
            <numFmt formatCode="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'Primary outcomes'!$A$26:$A$27</f>
            </strRef>
          </cat>
          <val>
            <numRef>
              <f>'Primary outcomes'!$C$26:$C$27</f>
            </numRef>
          </val>
        </ser>
        <gapWidth val="60"/>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crossAx val="100"/>
        <lblOffset val="100"/>
      </catAx>
      <valAx>
        <axId val="100"/>
        <scaling>
          <orientation val="minMax"/>
          <max val="24"/>
          <min val="0"/>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Useful releases (of 24 scored)</a:t>
                </a:r>
              </a:p>
            </rich>
          </tx>
          <overlay val="0"/>
        </title>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B6576"/>
                </a:solidFill>
                <a:latin typeface="Arial"/>
              </a:defRPr>
            </a:pPr>
            <a:r>
              <a:t/>
            </a:r>
            <a:endParaRPr sz="800" b="0">
              <a:solidFill>
                <a:srgbClr val="5B6576"/>
              </a:solidFill>
              <a:latin typeface="Arial"/>
            </a:endParaRPr>
          </a:p>
        </txPr>
        <crossAx val="10"/>
      </valAx>
    </plotArea>
    <legend>
      <legendPos val="b"/>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0B1F3A"/>
                </a:solidFill>
                <a:latin typeface="Arial"/>
              </a:defRPr>
            </a:pPr>
            <a:r>
              <a:rPr sz="1100" b="1">
                <a:solidFill>
                  <a:srgbClr val="0B1F3A"/>
                </a:solidFill>
                <a:latin typeface="Arial"/>
              </a:rPr>
              <a:t>Checks withheld more Claude answers (21% to 23%) than Codex answers (15% to 19%)</a:t>
            </a:r>
          </a:p>
        </rich>
      </tx>
      <overlay val="0"/>
    </title>
    <plotArea>
      <barChart>
        <barDir val="bar"/>
        <grouping val="stacked"/>
        <ser>
          <idx val="0"/>
          <order val="0"/>
          <tx>
            <strRef>
              <f>'Claude extension'!B45</f>
            </strRef>
          </tx>
          <spPr>
            <a:solidFill xmlns:a="http://schemas.openxmlformats.org/drawingml/2006/main">
              <a:srgbClr val="0038A8"/>
            </a:solidFill>
            <a:ln xmlns:a="http://schemas.openxmlformats.org/drawingml/2006/main">
              <a:solidFill>
                <a:srgbClr val="0038A8"/>
              </a:solidFill>
              <a:prstDash val="solid"/>
            </a:ln>
          </spPr>
          <dLbls>
            <numFmt formatCode="0;-0;;@"/>
            <txPr>
              <a:bodyPr xmlns:a="http://schemas.openxmlformats.org/drawingml/2006/main"/>
              <a:p xmlns:a="http://schemas.openxmlformats.org/drawingml/2006/main">
                <a:pPr>
                  <a:defRPr sz="800" b="1">
                    <a:solidFill>
                      <a:srgbClr val="FFFFFF"/>
                    </a:solidFill>
                    <a:latin typeface="Arial"/>
                  </a:defRPr>
                </a:pPr>
                <a:r>
                  <a:t/>
                </a:r>
                <a:endParaRPr sz="800" b="1">
                  <a:solidFill>
                    <a:srgbClr val="FFFFFF"/>
                  </a:solidFill>
                  <a:latin typeface="Arial"/>
                </a:endParaRPr>
              </a:p>
            </txPr>
            <dLblPos val="ctr"/>
            <showLegendKey val="0"/>
            <showVal val="1"/>
            <showCatName val="0"/>
            <showSerName val="0"/>
            <showPercent val="0"/>
            <showBubbleSize val="0"/>
          </dLbls>
          <cat>
            <strRef>
              <f>'Claude extension'!$A$46:$A$49</f>
            </strRef>
          </cat>
          <val>
            <numRef>
              <f>'Claude extension'!$B$46:$B$49</f>
            </numRef>
          </val>
        </ser>
        <ser>
          <idx val="1"/>
          <order val="1"/>
          <tx>
            <strRef>
              <f>'Claude extension'!C45</f>
            </strRef>
          </tx>
          <spPr>
            <a:solidFill xmlns:a="http://schemas.openxmlformats.org/drawingml/2006/main">
              <a:srgbClr val="8A6100"/>
            </a:solidFill>
            <a:ln xmlns:a="http://schemas.openxmlformats.org/drawingml/2006/main">
              <a:solidFill>
                <a:srgbClr val="8A6100"/>
              </a:solidFill>
              <a:prstDash val="solid"/>
            </a:ln>
          </spPr>
          <dLbls>
            <numFmt formatCode="0;-0;;@"/>
            <txPr>
              <a:bodyPr xmlns:a="http://schemas.openxmlformats.org/drawingml/2006/main"/>
              <a:p xmlns:a="http://schemas.openxmlformats.org/drawingml/2006/main">
                <a:pPr>
                  <a:defRPr sz="800" b="1">
                    <a:solidFill>
                      <a:srgbClr val="FFFFFF"/>
                    </a:solidFill>
                    <a:latin typeface="Arial"/>
                  </a:defRPr>
                </a:pPr>
                <a:r>
                  <a:t/>
                </a:r>
                <a:endParaRPr sz="800" b="1">
                  <a:solidFill>
                    <a:srgbClr val="FFFFFF"/>
                  </a:solidFill>
                  <a:latin typeface="Arial"/>
                </a:endParaRPr>
              </a:p>
            </txPr>
            <dLblPos val="ctr"/>
            <showLegendKey val="0"/>
            <showVal val="1"/>
            <showCatName val="0"/>
            <showSerName val="0"/>
            <showPercent val="0"/>
            <showBubbleSize val="0"/>
          </dLbls>
          <cat>
            <strRef>
              <f>'Claude extension'!$A$46:$A$49</f>
            </strRef>
          </cat>
          <val>
            <numRef>
              <f>'Claude extension'!$C$46:$C$49</f>
            </numRef>
          </val>
        </ser>
        <ser>
          <idx val="2"/>
          <order val="2"/>
          <tx>
            <strRef>
              <f>'Claude extension'!D45</f>
            </strRef>
          </tx>
          <spPr>
            <a:solidFill xmlns:a="http://schemas.openxmlformats.org/drawingml/2006/main">
              <a:srgbClr val="4A5363"/>
            </a:solidFill>
            <a:ln xmlns:a="http://schemas.openxmlformats.org/drawingml/2006/main">
              <a:solidFill>
                <a:srgbClr val="4A5363"/>
              </a:solidFill>
              <a:prstDash val="solid"/>
            </a:ln>
          </spPr>
          <dLbls>
            <numFmt formatCode="0;-0;;@"/>
            <txPr>
              <a:bodyPr xmlns:a="http://schemas.openxmlformats.org/drawingml/2006/main"/>
              <a:p xmlns:a="http://schemas.openxmlformats.org/drawingml/2006/main">
                <a:pPr>
                  <a:defRPr sz="800" b="1">
                    <a:solidFill>
                      <a:srgbClr val="FFFFFF"/>
                    </a:solidFill>
                    <a:latin typeface="Arial"/>
                  </a:defRPr>
                </a:pPr>
                <a:r>
                  <a:t/>
                </a:r>
                <a:endParaRPr sz="800" b="1">
                  <a:solidFill>
                    <a:srgbClr val="FFFFFF"/>
                  </a:solidFill>
                  <a:latin typeface="Arial"/>
                </a:endParaRPr>
              </a:p>
            </txPr>
            <dLblPos val="ctr"/>
            <showLegendKey val="0"/>
            <showVal val="1"/>
            <showCatName val="0"/>
            <showSerName val="0"/>
            <showPercent val="0"/>
            <showBubbleSize val="0"/>
          </dLbls>
          <cat>
            <strRef>
              <f>'Claude extension'!$A$46:$A$49</f>
            </strRef>
          </cat>
          <val>
            <numRef>
              <f>'Claude extension'!$D$46:$D$49</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crossAx val="100"/>
        <lblOffset val="100"/>
      </catAx>
      <valAx>
        <axId val="100"/>
        <scaling>
          <orientation val="minMax"/>
          <max val="48"/>
          <min val="0"/>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Answers (of 48)</a:t>
                </a:r>
              </a:p>
            </rich>
          </tx>
          <overlay val="0"/>
        </title>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B6576"/>
                </a:solidFill>
                <a:latin typeface="Arial"/>
              </a:defRPr>
            </a:pPr>
            <a:r>
              <a:t/>
            </a:r>
            <a:endParaRPr sz="800" b="0">
              <a:solidFill>
                <a:srgbClr val="5B6576"/>
              </a:solidFill>
              <a:latin typeface="Arial"/>
            </a:endParaRPr>
          </a:p>
        </txPr>
        <crossAx val="10"/>
        <crosses val="max"/>
      </valAx>
    </plotArea>
    <legend>
      <legendPos val="b"/>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0B1F3A"/>
                </a:solidFill>
                <a:latin typeface="Arial"/>
              </a:defRPr>
            </a:pPr>
            <a:r>
              <a:rPr sz="1100" b="1">
                <a:solidFill>
                  <a:srgbClr val="0B1F3A"/>
                </a:solidFill>
                <a:latin typeface="Arial"/>
              </a:rPr>
              <a:t>All billed AI work cost US$7.16; case drafting and retries (Kimi, Claude judge) drove the largest bills</a:t>
            </a:r>
          </a:p>
        </rich>
      </tx>
      <overlay val="0"/>
    </title>
    <plotArea>
      <barChart>
        <barDir val="bar"/>
        <grouping val="clustered"/>
        <ser>
          <idx val="0"/>
          <order val="0"/>
          <tx>
            <strRef>
              <f>'Costs and time'!B25</f>
            </strRef>
          </tx>
          <spPr>
            <a:solidFill xmlns:a="http://schemas.openxmlformats.org/drawingml/2006/main">
              <a:srgbClr val="8A94A6"/>
            </a:solidFill>
            <a:ln xmlns:a="http://schemas.openxmlformats.org/drawingml/2006/main">
              <a:solidFill>
                <a:srgbClr val="8A94A6"/>
              </a:solidFill>
              <a:prstDash val="solid"/>
            </a:ln>
          </spPr>
          <dLbls>
            <numFmt formatCode="&quot;$&quot;0.0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'Costs and time'!$A$26:$A$33</f>
            </strRef>
          </cat>
          <val>
            <numRef>
              <f>'Costs and time'!$B$26:$B$33</f>
            </numRef>
          </val>
        </ser>
        <ser>
          <idx val="1"/>
          <order val="1"/>
          <tx>
            <strRef>
              <f>'Costs and time'!C25</f>
            </strRef>
          </tx>
          <spPr>
            <a:solidFill xmlns:a="http://schemas.openxmlformats.org/drawingml/2006/main">
              <a:srgbClr val="0038A8"/>
            </a:solidFill>
            <a:ln xmlns:a="http://schemas.openxmlformats.org/drawingml/2006/main">
              <a:solidFill>
                <a:srgbClr val="0038A8"/>
              </a:solidFill>
              <a:prstDash val="solid"/>
            </a:ln>
          </spPr>
          <dLbls>
            <numFmt formatCode="&quot;$&quot;0.0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'Costs and time'!$A$26:$A$33</f>
            </strRef>
          </cat>
          <val>
            <numRef>
              <f>'Costs and time'!$C$26:$C$33</f>
            </numRef>
          </val>
        </ser>
        <gapWidth val="4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crossAx val="100"/>
        <lblOffset val="100"/>
      </catAx>
      <valAx>
        <axId val="100"/>
        <scaling>
          <orientation val="minMax"/>
          <min val="0"/>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US$</a:t>
                </a:r>
              </a:p>
            </rich>
          </tx>
          <overlay val="0"/>
        </title>
        <numFmt formatCode="&quot;$&quot;0.0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B6576"/>
                </a:solidFill>
                <a:latin typeface="Arial"/>
              </a:defRPr>
            </a:pPr>
            <a:r>
              <a:t/>
            </a:r>
            <a:endParaRPr sz="800" b="0">
              <a:solidFill>
                <a:srgbClr val="5B6576"/>
              </a:solidFill>
              <a:latin typeface="Arial"/>
            </a:endParaRPr>
          </a:p>
        </txPr>
        <crossAx val="10"/>
        <crosses val="max"/>
      </valAx>
    </plotArea>
    <legend>
      <legendPos val="b"/>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0B1F3A"/>
                </a:solidFill>
                <a:latin typeface="Arial"/>
              </a:defRPr>
            </a:pPr>
            <a:r>
              <a:rPr sz="1100" b="1">
                <a:solidFill>
                  <a:srgbClr val="0B1F3A"/>
                </a:solidFill>
                <a:latin typeface="Arial"/>
              </a:rPr>
              <a:t>Checks added no useful releases and cost 7 (Astra) and 9 (Luna) of 24 scored acceptable answers</a:t>
            </a:r>
          </a:p>
        </rich>
      </tx>
      <overlay val="0"/>
    </title>
    <plotArea>
      <barChart>
        <barDir val="col"/>
        <grouping val="clustered"/>
        <ser>
          <idx val="0"/>
          <order val="0"/>
          <tx>
            <strRef>
              <f>'Primary outcomes'!B25</f>
            </strRef>
          </tx>
          <spPr>
            <a:solidFill xmlns:a="http://schemas.openxmlformats.org/drawingml/2006/main">
              <a:srgbClr val="8A94A6"/>
            </a:solidFill>
            <a:ln xmlns:a="http://schemas.openxmlformats.org/drawingml/2006/main">
              <a:solidFill>
                <a:srgbClr val="8A94A6"/>
              </a:solidFill>
              <a:prstDash val="solid"/>
            </a:ln>
          </spPr>
          <dLbls>
            <numFmt formatCode="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'Primary outcomes'!$A$26:$A$27</f>
            </strRef>
          </cat>
          <val>
            <numRef>
              <f>'Primary outcomes'!$B$26:$B$27</f>
            </numRef>
          </val>
        </ser>
        <ser>
          <idx val="1"/>
          <order val="1"/>
          <tx>
            <strRef>
              <f>'Primary outcomes'!C25</f>
            </strRef>
          </tx>
          <spPr>
            <a:solidFill xmlns:a="http://schemas.openxmlformats.org/drawingml/2006/main">
              <a:srgbClr val="0038A8"/>
            </a:solidFill>
            <a:ln xmlns:a="http://schemas.openxmlformats.org/drawingml/2006/main">
              <a:solidFill>
                <a:srgbClr val="0038A8"/>
              </a:solidFill>
              <a:prstDash val="solid"/>
            </a:ln>
          </spPr>
          <dLbls>
            <numFmt formatCode="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'Primary outcomes'!$A$26:$A$27</f>
            </strRef>
          </cat>
          <val>
            <numRef>
              <f>'Primary outcomes'!$C$26:$C$27</f>
            </numRef>
          </val>
        </ser>
        <gapWidth val="60"/>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crossAx val="100"/>
        <lblOffset val="100"/>
      </catAx>
      <valAx>
        <axId val="100"/>
        <scaling>
          <orientation val="minMax"/>
          <max val="24"/>
          <min val="0"/>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Useful releases (of 24 scored)</a:t>
                </a:r>
              </a:p>
            </rich>
          </tx>
          <overlay val="0"/>
        </title>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B6576"/>
                </a:solidFill>
                <a:latin typeface="Arial"/>
              </a:defRPr>
            </a:pPr>
            <a:r>
              <a:t/>
            </a:r>
            <a:endParaRPr sz="800" b="0">
              <a:solidFill>
                <a:srgbClr val="5B6576"/>
              </a:solidFill>
              <a:latin typeface="Arial"/>
            </a:endParaRPr>
          </a:p>
        </txPr>
        <crossAx val="10"/>
      </valAx>
    </plotArea>
    <legend>
      <legendPos val="b"/>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0B1F3A"/>
                </a:solidFill>
                <a:latin typeface="Arial"/>
              </a:defRPr>
            </a:pPr>
            <a:r>
              <a:rPr sz="1100" b="1">
                <a:solidFill>
                  <a:srgbClr val="0B1F3A"/>
                </a:solidFill>
                <a:latin typeface="Arial"/>
              </a:rPr>
              <a:t>No serious errors among the scored answers, so none were released in any condition</a:t>
            </a:r>
          </a:p>
        </rich>
      </tx>
      <overlay val="0"/>
    </title>
    <plotArea>
      <barChart>
        <barDir val="col"/>
        <grouping val="clustered"/>
        <ser>
          <idx val="0"/>
          <order val="0"/>
          <tx>
            <strRef>
              <f>'Primary outcomes'!F25</f>
            </strRef>
          </tx>
          <spPr>
            <a:solidFill xmlns:a="http://schemas.openxmlformats.org/drawingml/2006/main">
              <a:srgbClr val="8A94A6"/>
            </a:solidFill>
            <a:ln xmlns:a="http://schemas.openxmlformats.org/drawingml/2006/main">
              <a:solidFill>
                <a:srgbClr val="8A94A6"/>
              </a:solidFill>
              <a:prstDash val="solid"/>
            </a:ln>
          </spPr>
          <dLbls>
            <numFmt formatCode="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'Primary outcomes'!$E$26:$E$27</f>
            </strRef>
          </cat>
          <val>
            <numRef>
              <f>'Primary outcomes'!$F$26:$F$27</f>
            </numRef>
          </val>
        </ser>
        <ser>
          <idx val="1"/>
          <order val="1"/>
          <tx>
            <strRef>
              <f>'Primary outcomes'!G25</f>
            </strRef>
          </tx>
          <spPr>
            <a:solidFill xmlns:a="http://schemas.openxmlformats.org/drawingml/2006/main">
              <a:srgbClr val="CE1126"/>
            </a:solidFill>
            <a:ln xmlns:a="http://schemas.openxmlformats.org/drawingml/2006/main">
              <a:solidFill>
                <a:srgbClr val="CE1126"/>
              </a:solidFill>
              <a:prstDash val="solid"/>
            </a:ln>
          </spPr>
          <dLbls>
            <numFmt formatCode="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'Primary outcomes'!$E$26:$E$27</f>
            </strRef>
          </cat>
          <val>
            <numRef>
              <f>'Primary outcomes'!$G$26:$G$27</f>
            </numRef>
          </val>
        </ser>
        <gapWidth val="60"/>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crossAx val="100"/>
        <lblOffset val="100"/>
      </catAx>
      <valAx>
        <axId val="100"/>
        <scaling>
          <orientation val="minMax"/>
          <max val="24"/>
          <min val="0"/>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Serious answers released (of 24 scored)</a:t>
                </a:r>
              </a:p>
            </rich>
          </tx>
          <overlay val="0"/>
        </title>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B6576"/>
                </a:solidFill>
                <a:latin typeface="Arial"/>
              </a:defRPr>
            </a:pPr>
            <a:r>
              <a:t/>
            </a:r>
            <a:endParaRPr sz="800" b="0">
              <a:solidFill>
                <a:srgbClr val="5B6576"/>
              </a:solidFill>
              <a:latin typeface="Arial"/>
            </a:endParaRPr>
          </a:p>
        </txPr>
        <crossAx val="10"/>
      </valAx>
    </plotArea>
    <legend>
      <legendPos val="b"/>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legend>
    <plotVisOnly val="1"/>
    <dispBlanksAs val="gap"/>
  </chart>
</chartSpace>
</file>

<file path=xl/charts/chart6.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0B1F3A"/>
                </a:solidFill>
                <a:latin typeface="Arial"/>
              </a:defRPr>
            </a:pPr>
            <a:r>
              <a:rPr sz="1100" b="1">
                <a:solidFill>
                  <a:srgbClr val="0B1F3A"/>
                </a:solidFill>
                <a:latin typeface="Arial"/>
              </a:rPr>
              <a:t>Useful releases lost to checks came from W2 (3) and W3 (7); W1 lost 6</a:t>
            </a:r>
          </a:p>
        </rich>
      </tx>
      <overlay val="0"/>
    </title>
    <plotArea>
      <barChart>
        <barDir val="col"/>
        <grouping val="clustered"/>
        <ser>
          <idx val="0"/>
          <order val="0"/>
          <tx>
            <strRef>
              <f>'Workflows'!B21</f>
            </strRef>
          </tx>
          <spPr>
            <a:solidFill xmlns:a="http://schemas.openxmlformats.org/drawingml/2006/main">
              <a:srgbClr val="8A94A6"/>
            </a:solidFill>
            <a:ln xmlns:a="http://schemas.openxmlformats.org/drawingml/2006/main">
              <a:solidFill>
                <a:srgbClr val="8A94A6"/>
              </a:solidFill>
              <a:prstDash val="solid"/>
            </a:ln>
          </spPr>
          <dLbls>
            <numFmt formatCode="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'Workflows'!$A$22:$A$24</f>
            </strRef>
          </cat>
          <val>
            <numRef>
              <f>'Workflows'!$B$22:$B$24</f>
            </numRef>
          </val>
        </ser>
        <ser>
          <idx val="1"/>
          <order val="1"/>
          <tx>
            <strRef>
              <f>'Workflows'!C21</f>
            </strRef>
          </tx>
          <spPr>
            <a:solidFill xmlns:a="http://schemas.openxmlformats.org/drawingml/2006/main">
              <a:srgbClr val="0038A8"/>
            </a:solidFill>
            <a:ln xmlns:a="http://schemas.openxmlformats.org/drawingml/2006/main">
              <a:solidFill>
                <a:srgbClr val="0038A8"/>
              </a:solidFill>
              <a:prstDash val="solid"/>
            </a:ln>
          </spPr>
          <dLbls>
            <numFmt formatCode="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'Workflows'!$A$22:$A$24</f>
            </strRef>
          </cat>
          <val>
            <numRef>
              <f>'Workflows'!$C$22:$C$24</f>
            </numRef>
          </val>
        </ser>
        <ser>
          <idx val="2"/>
          <order val="2"/>
          <tx>
            <strRef>
              <f>'Workflows'!D21</f>
            </strRef>
          </tx>
          <spPr>
            <a:solidFill xmlns:a="http://schemas.openxmlformats.org/drawingml/2006/main">
              <a:srgbClr val="C5CBD5"/>
            </a:solidFill>
            <a:ln xmlns:a="http://schemas.openxmlformats.org/drawingml/2006/main">
              <a:solidFill>
                <a:srgbClr val="C5CBD5"/>
              </a:solidFill>
              <a:prstDash val="solid"/>
            </a:ln>
          </spPr>
          <dLbls>
            <numFmt formatCode="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'Workflows'!$A$22:$A$24</f>
            </strRef>
          </cat>
          <val>
            <numRef>
              <f>'Workflows'!$D$22:$D$24</f>
            </numRef>
          </val>
        </ser>
        <ser>
          <idx val="3"/>
          <order val="3"/>
          <tx>
            <strRef>
              <f>'Workflows'!E21</f>
            </strRef>
          </tx>
          <spPr>
            <a:solidFill xmlns:a="http://schemas.openxmlformats.org/drawingml/2006/main">
              <a:srgbClr val="8A6100"/>
            </a:solidFill>
            <a:ln xmlns:a="http://schemas.openxmlformats.org/drawingml/2006/main">
              <a:solidFill>
                <a:srgbClr val="8A6100"/>
              </a:solidFill>
              <a:prstDash val="solid"/>
            </a:ln>
          </spPr>
          <dLbls>
            <numFmt formatCode="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'Workflows'!$A$22:$A$24</f>
            </strRef>
          </cat>
          <val>
            <numRef>
              <f>'Workflows'!$E$22:$E$24</f>
            </numRef>
          </val>
        </ser>
        <gapWidth val="60"/>
        <axId val="10"/>
        <axId val="100"/>
      </barChart>
      <catAx>
        <axId val="10"/>
        <scaling>
          <orientation val="minMax"/>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Workflow</a:t>
                </a:r>
              </a:p>
            </rich>
          </tx>
          <overlay val="0"/>
        </title>
        <majorTickMark val="none"/>
        <minorTickMark val="none"/>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crossAx val="100"/>
        <lblOffset val="100"/>
      </catAx>
      <valAx>
        <axId val="100"/>
        <scaling>
          <orientation val="minMax"/>
          <max val="8"/>
          <min val="0"/>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Useful releases (of 8 scored)</a:t>
                </a:r>
              </a:p>
            </rich>
          </tx>
          <overlay val="0"/>
        </title>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B6576"/>
                </a:solidFill>
                <a:latin typeface="Arial"/>
              </a:defRPr>
            </a:pPr>
            <a:r>
              <a:t/>
            </a:r>
            <a:endParaRPr sz="800" b="0">
              <a:solidFill>
                <a:srgbClr val="5B6576"/>
              </a:solidFill>
              <a:latin typeface="Arial"/>
            </a:endParaRPr>
          </a:p>
        </txPr>
        <crossAx val="10"/>
      </valAx>
    </plotArea>
    <legend>
      <legendPos val="b"/>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legend>
    <plotVisOnly val="1"/>
    <dispBlanksAs val="gap"/>
  </chart>
</chartSpace>
</file>

<file path=xl/charts/chart7.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0B1F3A"/>
                </a:solidFill>
                <a:latin typeface="Arial"/>
              </a:defRPr>
            </a:pPr>
            <a:r>
              <a:rPr sz="1100" b="1">
                <a:solidFill>
                  <a:srgbClr val="0B1F3A"/>
                </a:solidFill>
                <a:latin typeface="Arial"/>
              </a:rPr>
              <a:t>Routing withheld 11 of 16 answers; none of the withheld scored answers was serious</a:t>
            </a:r>
          </a:p>
        </rich>
      </tx>
      <overlay val="0"/>
    </title>
    <plotArea>
      <barChart>
        <barDir val="bar"/>
        <grouping val="stacked"/>
        <ser>
          <idx val="0"/>
          <order val="0"/>
          <tx>
            <strRef>
              <f>'Checks'!B36</f>
            </strRef>
          </tx>
          <spPr>
            <a:solidFill xmlns:a="http://schemas.openxmlformats.org/drawingml/2006/main">
              <a:srgbClr val="8A6100"/>
            </a:solidFill>
            <a:ln xmlns:a="http://schemas.openxmlformats.org/drawingml/2006/main">
              <a:solidFill>
                <a:srgbClr val="8A6100"/>
              </a:solidFill>
              <a:prstDash val="solid"/>
            </a:ln>
          </spPr>
          <dLbls>
            <numFmt formatCode="0;-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ctr"/>
            <showLegendKey val="0"/>
            <showVal val="1"/>
            <showCatName val="0"/>
            <showSerName val="0"/>
            <showPercent val="0"/>
            <showBubbleSize val="0"/>
          </dLbls>
          <cat>
            <strRef>
              <f>'Checks'!$A$37:$A$39</f>
            </strRef>
          </cat>
          <val>
            <numRef>
              <f>'Checks'!$B$37:$B$39</f>
            </numRef>
          </val>
        </ser>
        <ser>
          <idx val="1"/>
          <order val="1"/>
          <tx>
            <strRef>
              <f>'Checks'!C36</f>
            </strRef>
          </tx>
          <spPr>
            <a:solidFill xmlns:a="http://schemas.openxmlformats.org/drawingml/2006/main">
              <a:srgbClr val="CE1126"/>
            </a:solidFill>
            <a:ln xmlns:a="http://schemas.openxmlformats.org/drawingml/2006/main">
              <a:solidFill>
                <a:srgbClr val="CE1126"/>
              </a:solidFill>
              <a:prstDash val="solid"/>
            </a:ln>
          </spPr>
          <dLbls>
            <numFmt formatCode="0;-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ctr"/>
            <showLegendKey val="0"/>
            <showVal val="1"/>
            <showCatName val="0"/>
            <showSerName val="0"/>
            <showPercent val="0"/>
            <showBubbleSize val="0"/>
          </dLbls>
          <cat>
            <strRef>
              <f>'Checks'!$A$37:$A$39</f>
            </strRef>
          </cat>
          <val>
            <numRef>
              <f>'Checks'!$C$37:$C$39</f>
            </numRef>
          </val>
        </ser>
        <ser>
          <idx val="2"/>
          <order val="2"/>
          <tx>
            <strRef>
              <f>'Checks'!D36</f>
            </strRef>
          </tx>
          <spPr>
            <a:solidFill xmlns:a="http://schemas.openxmlformats.org/drawingml/2006/main">
              <a:srgbClr val="C5CBD5"/>
            </a:solidFill>
            <a:ln xmlns:a="http://schemas.openxmlformats.org/drawingml/2006/main">
              <a:solidFill>
                <a:srgbClr val="C5CBD5"/>
              </a:solidFill>
              <a:prstDash val="solid"/>
            </a:ln>
          </spPr>
          <dLbls>
            <numFmt formatCode="0;-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ctr"/>
            <showLegendKey val="0"/>
            <showVal val="1"/>
            <showCatName val="0"/>
            <showSerName val="0"/>
            <showPercent val="0"/>
            <showBubbleSize val="0"/>
          </dLbls>
          <cat>
            <strRef>
              <f>'Checks'!$A$37:$A$39</f>
            </strRef>
          </cat>
          <val>
            <numRef>
              <f>'Checks'!$D$37:$D$39</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crossAx val="100"/>
        <lblOffset val="100"/>
      </catAx>
      <valAx>
        <axId val="100"/>
        <scaling>
          <orientation val="minMax"/>
          <min val="0"/>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Answers withheld (of 96 checked)</a:t>
                </a:r>
              </a:p>
            </rich>
          </tx>
          <overlay val="0"/>
        </title>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B6576"/>
                </a:solidFill>
                <a:latin typeface="Arial"/>
              </a:defRPr>
            </a:pPr>
            <a:r>
              <a:t/>
            </a:r>
            <a:endParaRPr sz="800" b="0">
              <a:solidFill>
                <a:srgbClr val="5B6576"/>
              </a:solidFill>
              <a:latin typeface="Arial"/>
            </a:endParaRPr>
          </a:p>
        </txPr>
        <crossAx val="10"/>
        <crosses val="max"/>
      </valAx>
    </plotArea>
    <legend>
      <legendPos val="b"/>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legend>
    <plotVisOnly val="1"/>
    <dispBlanksAs val="gap"/>
  </chart>
</chartSpace>
</file>

<file path=xl/charts/chart8.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0B1F3A"/>
                </a:solidFill>
                <a:latin typeface="Arial"/>
              </a:defRPr>
            </a:pPr>
            <a:r>
              <a:rPr sz="1100" b="1">
                <a:solidFill>
                  <a:srgbClr val="0B1F3A"/>
                </a:solidFill>
                <a:latin typeface="Arial"/>
              </a:rPr>
              <a:t>Median decision time was 1.6 to 2.6 min per answer; the min to max ranges overlap across all conditions</a:t>
            </a:r>
          </a:p>
        </rich>
      </tx>
      <overlay val="0"/>
    </title>
    <plotArea>
      <barChart>
        <barDir val="col"/>
        <grouping val="clustered"/>
        <ser>
          <idx val="0"/>
          <order val="0"/>
          <tx>
            <strRef>
              <f>'Timing'!B22</f>
            </strRef>
          </tx>
          <spPr>
            <a:solidFill xmlns:a="http://schemas.openxmlformats.org/drawingml/2006/main">
              <a:srgbClr val="0038A8"/>
            </a:solidFill>
            <a:ln xmlns:a="http://schemas.openxmlformats.org/drawingml/2006/main">
              <a:solidFill>
                <a:srgbClr val="0038A8"/>
              </a:solidFill>
              <a:prstDash val="solid"/>
            </a:ln>
          </spPr>
          <dPt>
            <idx val="0"/>
            <invertIfNegative val="0"/>
            <spPr>
              <a:solidFill xmlns:a="http://schemas.openxmlformats.org/drawingml/2006/main">
                <a:srgbClr val="8A94A6"/>
              </a:solidFill>
              <a:ln xmlns:a="http://schemas.openxmlformats.org/drawingml/2006/main">
                <a:solidFill>
                  <a:srgbClr val="8A94A6"/>
                </a:solidFill>
                <a:prstDash val="solid"/>
              </a:ln>
            </spPr>
          </dPt>
          <dPt>
            <idx val="1"/>
            <invertIfNegative val="0"/>
            <spPr>
              <a:solidFill xmlns:a="http://schemas.openxmlformats.org/drawingml/2006/main">
                <a:srgbClr val="0038A8"/>
              </a:solidFill>
              <a:ln xmlns:a="http://schemas.openxmlformats.org/drawingml/2006/main">
                <a:solidFill>
                  <a:srgbClr val="0038A8"/>
                </a:solidFill>
                <a:prstDash val="solid"/>
              </a:ln>
            </spPr>
          </dPt>
          <dPt>
            <idx val="2"/>
            <invertIfNegative val="0"/>
            <spPr>
              <a:solidFill xmlns:a="http://schemas.openxmlformats.org/drawingml/2006/main">
                <a:srgbClr val="8A94A6"/>
              </a:solidFill>
              <a:ln xmlns:a="http://schemas.openxmlformats.org/drawingml/2006/main">
                <a:solidFill>
                  <a:srgbClr val="8A94A6"/>
                </a:solidFill>
                <a:prstDash val="solid"/>
              </a:ln>
            </spPr>
          </dPt>
          <dPt>
            <idx val="3"/>
            <invertIfNegative val="0"/>
            <spPr>
              <a:solidFill xmlns:a="http://schemas.openxmlformats.org/drawingml/2006/main">
                <a:srgbClr val="0038A8"/>
              </a:solidFill>
              <a:ln xmlns:a="http://schemas.openxmlformats.org/drawingml/2006/main">
                <a:solidFill>
                  <a:srgbClr val="0038A8"/>
                </a:solidFill>
                <a:prstDash val="solid"/>
              </a:ln>
            </spPr>
          </dPt>
          <dLbls>
            <numFmt formatCode="0"/>
            <txPr>
              <a:bodyPr xmlns:a="http://schemas.openxmlformats.org/drawingml/2006/main"/>
              <a:p xmlns:a="http://schemas.openxmlformats.org/drawingml/2006/main">
                <a:pPr>
                  <a:defRPr sz="800" b="1">
                    <a:solidFill>
                      <a:srgbClr val="FFFFFF"/>
                    </a:solidFill>
                    <a:latin typeface="Arial"/>
                  </a:defRPr>
                </a:pPr>
                <a:r>
                  <a:t/>
                </a:r>
                <a:endParaRPr sz="800" b="1">
                  <a:solidFill>
                    <a:srgbClr val="FFFFFF"/>
                  </a:solidFill>
                  <a:latin typeface="Arial"/>
                </a:endParaRPr>
              </a:p>
            </txPr>
            <dLblPos val="inEnd"/>
            <showLegendKey val="0"/>
            <showVal val="1"/>
            <showCatName val="0"/>
            <showSerName val="0"/>
            <showPercent val="0"/>
            <showBubbleSize val="0"/>
          </dLbls>
          <errBars>
            <errDir val="y"/>
            <errBarType val="both"/>
            <errValType val="cust"/>
            <noEndCap val="0"/>
            <minus>
              <numRef>
                <f>'Timing'!$D$23:$D$26</f>
              </numRef>
            </minus>
            <plus>
              <numRef>
                <f>'Timing'!$C$23:$C$26</f>
              </numRef>
            </plus>
          </errBars>
          <cat>
            <strRef>
              <f>'Timing'!$A$23:$A$26</f>
            </strRef>
          </cat>
          <val>
            <numRef>
              <f>'Timing'!$B$23:$B$26</f>
            </numRef>
          </val>
        </ser>
        <gapWidth val="60"/>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crossAx val="100"/>
        <lblOffset val="100"/>
      </catAx>
      <valAx>
        <axId val="100"/>
        <scaling>
          <orientation val="minMax"/>
          <min val="0"/>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Seconds (median; whisker = min to max)</a:t>
                </a:r>
              </a:p>
            </rich>
          </tx>
          <overlay val="0"/>
        </title>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B6576"/>
                </a:solidFill>
                <a:latin typeface="Arial"/>
              </a:defRPr>
            </a:pPr>
            <a:r>
              <a:t/>
            </a:r>
            <a:endParaRPr sz="800" b="0">
              <a:solidFill>
                <a:srgbClr val="5B6576"/>
              </a:solidFill>
              <a:latin typeface="Arial"/>
            </a:endParaRPr>
          </a:p>
        </txPr>
        <crossAx val="10"/>
      </valAx>
    </plotArea>
    <plotVisOnly val="1"/>
    <dispBlanksAs val="gap"/>
  </chart>
</chartSpace>
</file>

<file path=xl/charts/chart9.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0B1F3A"/>
                </a:solidFill>
                <a:latin typeface="Arial"/>
              </a:defRPr>
            </a:pPr>
            <a:r>
              <a:rPr sz="1100" b="1">
                <a:solidFill>
                  <a:srgbClr val="0B1F3A"/>
                </a:solidFill>
                <a:latin typeface="Arial"/>
              </a:rPr>
              <a:t>Most timed answers were accepted as is; minor edits occurred in every condition</a:t>
            </a:r>
          </a:p>
        </rich>
      </tx>
      <overlay val="0"/>
    </title>
    <plotArea>
      <barChart>
        <barDir val="col"/>
        <grouping val="stacked"/>
        <ser>
          <idx val="0"/>
          <order val="0"/>
          <tx>
            <strRef>
              <f>'Timing'!E22</f>
            </strRef>
          </tx>
          <spPr>
            <a:solidFill xmlns:a="http://schemas.openxmlformats.org/drawingml/2006/main">
              <a:srgbClr val="0038A8"/>
            </a:solidFill>
            <a:ln xmlns:a="http://schemas.openxmlformats.org/drawingml/2006/main">
              <a:solidFill>
                <a:srgbClr val="0038A8"/>
              </a:solidFill>
              <a:prstDash val="solid"/>
            </a:ln>
          </spPr>
          <dLbls>
            <numFmt formatCode="0;-0;;@"/>
            <txPr>
              <a:bodyPr xmlns:a="http://schemas.openxmlformats.org/drawingml/2006/main"/>
              <a:p xmlns:a="http://schemas.openxmlformats.org/drawingml/2006/main">
                <a:pPr>
                  <a:defRPr sz="800" b="1">
                    <a:solidFill>
                      <a:srgbClr val="FFFFFF"/>
                    </a:solidFill>
                    <a:latin typeface="Arial"/>
                  </a:defRPr>
                </a:pPr>
                <a:r>
                  <a:t/>
                </a:r>
                <a:endParaRPr sz="800" b="1">
                  <a:solidFill>
                    <a:srgbClr val="FFFFFF"/>
                  </a:solidFill>
                  <a:latin typeface="Arial"/>
                </a:endParaRPr>
              </a:p>
            </txPr>
            <dLblPos val="ctr"/>
            <showLegendKey val="0"/>
            <showVal val="1"/>
            <showCatName val="0"/>
            <showSerName val="0"/>
            <showPercent val="0"/>
            <showBubbleSize val="0"/>
          </dLbls>
          <cat>
            <strRef>
              <f>'Timing'!$A$23:$A$26</f>
            </strRef>
          </cat>
          <val>
            <numRef>
              <f>'Timing'!$E$23:$E$26</f>
            </numRef>
          </val>
        </ser>
        <ser>
          <idx val="1"/>
          <order val="1"/>
          <tx>
            <strRef>
              <f>'Timing'!F22</f>
            </strRef>
          </tx>
          <spPr>
            <a:solidFill xmlns:a="http://schemas.openxmlformats.org/drawingml/2006/main">
              <a:srgbClr val="8A6100"/>
            </a:solidFill>
            <a:ln xmlns:a="http://schemas.openxmlformats.org/drawingml/2006/main">
              <a:solidFill>
                <a:srgbClr val="8A6100"/>
              </a:solidFill>
              <a:prstDash val="solid"/>
            </a:ln>
          </spPr>
          <dLbls>
            <numFmt formatCode="0;-0;;@"/>
            <txPr>
              <a:bodyPr xmlns:a="http://schemas.openxmlformats.org/drawingml/2006/main"/>
              <a:p xmlns:a="http://schemas.openxmlformats.org/drawingml/2006/main">
                <a:pPr>
                  <a:defRPr sz="800" b="1">
                    <a:solidFill>
                      <a:srgbClr val="FFFFFF"/>
                    </a:solidFill>
                    <a:latin typeface="Arial"/>
                  </a:defRPr>
                </a:pPr>
                <a:r>
                  <a:t/>
                </a:r>
                <a:endParaRPr sz="800" b="1">
                  <a:solidFill>
                    <a:srgbClr val="FFFFFF"/>
                  </a:solidFill>
                  <a:latin typeface="Arial"/>
                </a:endParaRPr>
              </a:p>
            </txPr>
            <dLblPos val="ctr"/>
            <showLegendKey val="0"/>
            <showVal val="1"/>
            <showCatName val="0"/>
            <showSerName val="0"/>
            <showPercent val="0"/>
            <showBubbleSize val="0"/>
          </dLbls>
          <cat>
            <strRef>
              <f>'Timing'!$A$23:$A$26</f>
            </strRef>
          </cat>
          <val>
            <numRef>
              <f>'Timing'!$F$23:$F$26</f>
            </numRef>
          </val>
        </ser>
        <gapWidth val="60"/>
        <overlap val="100"/>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crossAx val="100"/>
        <lblOffset val="100"/>
      </catAx>
      <valAx>
        <axId val="100"/>
        <scaling>
          <orientation val="minMax"/>
          <max val="6"/>
          <min val="0"/>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Timed answers (of 6)</a:t>
                </a:r>
              </a:p>
            </rich>
          </tx>
          <overlay val="0"/>
        </title>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B6576"/>
                </a:solidFill>
                <a:latin typeface="Arial"/>
              </a:defRPr>
            </a:pPr>
            <a:r>
              <a:t/>
            </a:r>
            <a:endParaRPr sz="800" b="0">
              <a:solidFill>
                <a:srgbClr val="5B6576"/>
              </a:solidFill>
              <a:latin typeface="Arial"/>
            </a:endParaRPr>
          </a:p>
        </txPr>
        <crossAx val="10"/>
      </valAx>
    </plotArea>
    <legend>
      <legendPos val="b"/>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legend>
    <plotVisOnly val="1"/>
    <dispBlanksAs val="gap"/>
  </chart>
</chartSpace>
</file>

<file path=xl/charts/chart10.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0B1F3A"/>
                </a:solidFill>
                <a:latin typeface="Arial"/>
              </a:defRPr>
            </a:pPr>
            <a:r>
              <a:rPr sz="1100" b="1">
                <a:solidFill>
                  <a:srgbClr val="0B1F3A"/>
                </a:solidFill>
                <a:latin typeface="Arial"/>
              </a:rPr>
              <a:t>Reviewers and the AI judge matched every acceptable and serious call; severity grades diverged most</a:t>
            </a:r>
          </a:p>
        </rich>
      </tx>
      <overlay val="0"/>
    </title>
    <plotArea>
      <barChart>
        <barDir val="bar"/>
        <grouping val="clustered"/>
        <ser>
          <idx val="0"/>
          <order val="0"/>
          <tx>
            <strRef>
              <f>'Agreement'!B35</f>
            </strRef>
          </tx>
          <spPr>
            <a:solidFill xmlns:a="http://schemas.openxmlformats.org/drawingml/2006/main">
              <a:srgbClr val="8A6100"/>
            </a:solidFill>
            <a:ln xmlns:a="http://schemas.openxmlformats.org/drawingml/2006/main">
              <a:solidFill>
                <a:srgbClr val="8A6100"/>
              </a:solidFill>
              <a:prstDash val="solid"/>
            </a:ln>
          </spPr>
          <dLbls>
            <numFmt formatCode="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'Agreement'!$A$36:$A$39</f>
            </strRef>
          </cat>
          <val>
            <numRef>
              <f>'Agreement'!$B$36:$B$39</f>
            </numRef>
          </val>
        </ser>
        <ser>
          <idx val="1"/>
          <order val="1"/>
          <tx>
            <strRef>
              <f>'Agreement'!C35</f>
            </strRef>
          </tx>
          <spPr>
            <a:solidFill xmlns:a="http://schemas.openxmlformats.org/drawingml/2006/main">
              <a:srgbClr val="0038A8"/>
            </a:solidFill>
            <a:ln xmlns:a="http://schemas.openxmlformats.org/drawingml/2006/main">
              <a:solidFill>
                <a:srgbClr val="0038A8"/>
              </a:solidFill>
              <a:prstDash val="solid"/>
            </a:ln>
          </spPr>
          <dLbls>
            <numFmt formatCode="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'Agreement'!$A$36:$A$39</f>
            </strRef>
          </cat>
          <val>
            <numRef>
              <f>'Agreement'!$C$36:$C$39</f>
            </numRef>
          </val>
        </ser>
        <gapWidth val="6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crossAx val="100"/>
        <lblOffset val="100"/>
      </catAx>
      <valAx>
        <axId val="100"/>
        <scaling>
          <orientation val="minMax"/>
          <max val="1"/>
          <min val="0"/>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Agreement with researcher</a:t>
                </a:r>
              </a:p>
            </rich>
          </tx>
          <overlay val="0"/>
        </title>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B6576"/>
                </a:solidFill>
                <a:latin typeface="Arial"/>
              </a:defRPr>
            </a:pPr>
            <a:r>
              <a:t/>
            </a:r>
            <a:endParaRPr sz="800" b="0">
              <a:solidFill>
                <a:srgbClr val="5B6576"/>
              </a:solidFill>
              <a:latin typeface="Arial"/>
            </a:endParaRPr>
          </a:p>
        </txPr>
        <crossAx val="10"/>
        <crosses val="max"/>
      </valAx>
    </plotArea>
    <legend>
      <legendPos val="b"/>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legend>
    <plotVisOnly val="1"/>
    <dispBlanksAs val="gap"/>
  </chart>
</chartSpace>
</file>

<file path=xl/charts/chart1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0B1F3A"/>
                </a:solidFill>
                <a:latin typeface="Arial"/>
              </a:defRPr>
            </a:pPr>
            <a:r>
              <a:rPr sz="1100" b="1">
                <a:solidFill>
                  <a:srgbClr val="0B1F3A"/>
                </a:solidFill>
                <a:latin typeface="Arial"/>
              </a:rPr>
              <a:t>Checks withheld 21% to 23% of Claude answers vs 15% to 19% of Codex answers, mostly by blocking</a:t>
            </a:r>
          </a:p>
        </rich>
      </tx>
      <overlay val="0"/>
    </title>
    <plotArea>
      <barChart>
        <barDir val="bar"/>
        <grouping val="stacked"/>
        <ser>
          <idx val="0"/>
          <order val="0"/>
          <tx>
            <strRef>
              <f>'Claude extension'!B45</f>
            </strRef>
          </tx>
          <spPr>
            <a:solidFill xmlns:a="http://schemas.openxmlformats.org/drawingml/2006/main">
              <a:srgbClr val="0038A8"/>
            </a:solidFill>
            <a:ln xmlns:a="http://schemas.openxmlformats.org/drawingml/2006/main">
              <a:solidFill>
                <a:srgbClr val="0038A8"/>
              </a:solidFill>
              <a:prstDash val="solid"/>
            </a:ln>
          </spPr>
          <dLbls>
            <numFmt formatCode="0;-0;;@"/>
            <txPr>
              <a:bodyPr xmlns:a="http://schemas.openxmlformats.org/drawingml/2006/main"/>
              <a:p xmlns:a="http://schemas.openxmlformats.org/drawingml/2006/main">
                <a:pPr>
                  <a:defRPr sz="800" b="1">
                    <a:solidFill>
                      <a:srgbClr val="FFFFFF"/>
                    </a:solidFill>
                    <a:latin typeface="Arial"/>
                  </a:defRPr>
                </a:pPr>
                <a:r>
                  <a:t/>
                </a:r>
                <a:endParaRPr sz="800" b="1">
                  <a:solidFill>
                    <a:srgbClr val="FFFFFF"/>
                  </a:solidFill>
                  <a:latin typeface="Arial"/>
                </a:endParaRPr>
              </a:p>
            </txPr>
            <dLblPos val="ctr"/>
            <showLegendKey val="0"/>
            <showVal val="1"/>
            <showCatName val="0"/>
            <showSerName val="0"/>
            <showPercent val="0"/>
            <showBubbleSize val="0"/>
          </dLbls>
          <cat>
            <strRef>
              <f>'Claude extension'!$A$46:$A$49</f>
            </strRef>
          </cat>
          <val>
            <numRef>
              <f>'Claude extension'!$B$46:$B$49</f>
            </numRef>
          </val>
        </ser>
        <ser>
          <idx val="1"/>
          <order val="1"/>
          <tx>
            <strRef>
              <f>'Claude extension'!C45</f>
            </strRef>
          </tx>
          <spPr>
            <a:solidFill xmlns:a="http://schemas.openxmlformats.org/drawingml/2006/main">
              <a:srgbClr val="8A6100"/>
            </a:solidFill>
            <a:ln xmlns:a="http://schemas.openxmlformats.org/drawingml/2006/main">
              <a:solidFill>
                <a:srgbClr val="8A6100"/>
              </a:solidFill>
              <a:prstDash val="solid"/>
            </a:ln>
          </spPr>
          <dLbls>
            <numFmt formatCode="0;-0;;@"/>
            <txPr>
              <a:bodyPr xmlns:a="http://schemas.openxmlformats.org/drawingml/2006/main"/>
              <a:p xmlns:a="http://schemas.openxmlformats.org/drawingml/2006/main">
                <a:pPr>
                  <a:defRPr sz="800" b="1">
                    <a:solidFill>
                      <a:srgbClr val="FFFFFF"/>
                    </a:solidFill>
                    <a:latin typeface="Arial"/>
                  </a:defRPr>
                </a:pPr>
                <a:r>
                  <a:t/>
                </a:r>
                <a:endParaRPr sz="800" b="1">
                  <a:solidFill>
                    <a:srgbClr val="FFFFFF"/>
                  </a:solidFill>
                  <a:latin typeface="Arial"/>
                </a:endParaRPr>
              </a:p>
            </txPr>
            <dLblPos val="ctr"/>
            <showLegendKey val="0"/>
            <showVal val="1"/>
            <showCatName val="0"/>
            <showSerName val="0"/>
            <showPercent val="0"/>
            <showBubbleSize val="0"/>
          </dLbls>
          <cat>
            <strRef>
              <f>'Claude extension'!$A$46:$A$49</f>
            </strRef>
          </cat>
          <val>
            <numRef>
              <f>'Claude extension'!$C$46:$C$49</f>
            </numRef>
          </val>
        </ser>
        <ser>
          <idx val="2"/>
          <order val="2"/>
          <tx>
            <strRef>
              <f>'Claude extension'!D45</f>
            </strRef>
          </tx>
          <spPr>
            <a:solidFill xmlns:a="http://schemas.openxmlformats.org/drawingml/2006/main">
              <a:srgbClr val="4A5363"/>
            </a:solidFill>
            <a:ln xmlns:a="http://schemas.openxmlformats.org/drawingml/2006/main">
              <a:solidFill>
                <a:srgbClr val="4A5363"/>
              </a:solidFill>
              <a:prstDash val="solid"/>
            </a:ln>
          </spPr>
          <dLbls>
            <numFmt formatCode="0;-0;;@"/>
            <txPr>
              <a:bodyPr xmlns:a="http://schemas.openxmlformats.org/drawingml/2006/main"/>
              <a:p xmlns:a="http://schemas.openxmlformats.org/drawingml/2006/main">
                <a:pPr>
                  <a:defRPr sz="800" b="1">
                    <a:solidFill>
                      <a:srgbClr val="FFFFFF"/>
                    </a:solidFill>
                    <a:latin typeface="Arial"/>
                  </a:defRPr>
                </a:pPr>
                <a:r>
                  <a:t/>
                </a:r>
                <a:endParaRPr sz="800" b="1">
                  <a:solidFill>
                    <a:srgbClr val="FFFFFF"/>
                  </a:solidFill>
                  <a:latin typeface="Arial"/>
                </a:endParaRPr>
              </a:p>
            </txPr>
            <dLblPos val="ctr"/>
            <showLegendKey val="0"/>
            <showVal val="1"/>
            <showCatName val="0"/>
            <showSerName val="0"/>
            <showPercent val="0"/>
            <showBubbleSize val="0"/>
          </dLbls>
          <cat>
            <strRef>
              <f>'Claude extension'!$A$46:$A$49</f>
            </strRef>
          </cat>
          <val>
            <numRef>
              <f>'Claude extension'!$D$46:$D$49</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crossAx val="100"/>
        <lblOffset val="100"/>
      </catAx>
      <valAx>
        <axId val="100"/>
        <scaling>
          <orientation val="minMax"/>
          <max val="48"/>
          <min val="0"/>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Answers (of 48 per model)</a:t>
                </a:r>
              </a:p>
            </rich>
          </tx>
          <overlay val="0"/>
        </title>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B6576"/>
                </a:solidFill>
                <a:latin typeface="Arial"/>
              </a:defRPr>
            </a:pPr>
            <a:r>
              <a:t/>
            </a:r>
            <a:endParaRPr sz="800" b="0">
              <a:solidFill>
                <a:srgbClr val="5B6576"/>
              </a:solidFill>
              <a:latin typeface="Arial"/>
            </a:endParaRPr>
          </a:p>
        </txPr>
        <crossAx val="10"/>
        <crosses val="max"/>
      </valAx>
    </plotArea>
    <legend>
      <legendPos val="b"/>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legend>
    <plotVisOnly val="1"/>
    <dispBlanksAs val="gap"/>
  </chart>
</chartSpace>
</file>

<file path=xl/charts/chart1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0B1F3A"/>
                </a:solidFill>
                <a:latin typeface="Arial"/>
              </a:defRPr>
            </a:pPr>
            <a:r>
              <a:rPr sz="1100" b="1">
                <a:solidFill>
                  <a:srgbClr val="0B1F3A"/>
                </a:solidFill>
                <a:latin typeface="Arial"/>
              </a:rPr>
              <a:t>The AI judge flagged 3 of 24 Haiku answers as not acceptable; none from the other models</a:t>
            </a:r>
          </a:p>
        </rich>
      </tx>
      <overlay val="0"/>
    </title>
    <plotArea>
      <barChart>
        <barDir val="bar"/>
        <grouping val="stacked"/>
        <ser>
          <idx val="0"/>
          <order val="0"/>
          <tx>
            <strRef>
              <f>'Claude extension'!G45</f>
            </strRef>
          </tx>
          <spPr>
            <a:solidFill xmlns:a="http://schemas.openxmlformats.org/drawingml/2006/main">
              <a:srgbClr val="0038A8"/>
            </a:solidFill>
            <a:ln xmlns:a="http://schemas.openxmlformats.org/drawingml/2006/main">
              <a:solidFill>
                <a:srgbClr val="0038A8"/>
              </a:solidFill>
              <a:prstDash val="solid"/>
            </a:ln>
          </spPr>
          <dLbls>
            <numFmt formatCode="0;-0;;@"/>
            <txPr>
              <a:bodyPr xmlns:a="http://schemas.openxmlformats.org/drawingml/2006/main"/>
              <a:p xmlns:a="http://schemas.openxmlformats.org/drawingml/2006/main">
                <a:pPr>
                  <a:defRPr sz="800" b="1">
                    <a:solidFill>
                      <a:srgbClr val="FFFFFF"/>
                    </a:solidFill>
                    <a:latin typeface="Arial"/>
                  </a:defRPr>
                </a:pPr>
                <a:r>
                  <a:t/>
                </a:r>
                <a:endParaRPr sz="800" b="1">
                  <a:solidFill>
                    <a:srgbClr val="FFFFFF"/>
                  </a:solidFill>
                  <a:latin typeface="Arial"/>
                </a:endParaRPr>
              </a:p>
            </txPr>
            <dLblPos val="ctr"/>
            <showLegendKey val="0"/>
            <showVal val="1"/>
            <showCatName val="0"/>
            <showSerName val="0"/>
            <showPercent val="0"/>
            <showBubbleSize val="0"/>
          </dLbls>
          <cat>
            <strRef>
              <f>'Claude extension'!$F$46:$F$49</f>
            </strRef>
          </cat>
          <val>
            <numRef>
              <f>'Claude extension'!$G$46:$G$49</f>
            </numRef>
          </val>
        </ser>
        <ser>
          <idx val="1"/>
          <order val="1"/>
          <tx>
            <strRef>
              <f>'Claude extension'!H45</f>
            </strRef>
          </tx>
          <spPr>
            <a:solidFill xmlns:a="http://schemas.openxmlformats.org/drawingml/2006/main">
              <a:srgbClr val="CE1126"/>
            </a:solidFill>
            <a:ln xmlns:a="http://schemas.openxmlformats.org/drawingml/2006/main">
              <a:solidFill>
                <a:srgbClr val="CE1126"/>
              </a:solidFill>
              <a:prstDash val="solid"/>
            </a:ln>
          </spPr>
          <dLbls>
            <numFmt formatCode="0;-0;;@"/>
            <txPr>
              <a:bodyPr xmlns:a="http://schemas.openxmlformats.org/drawingml/2006/main"/>
              <a:p xmlns:a="http://schemas.openxmlformats.org/drawingml/2006/main">
                <a:pPr>
                  <a:defRPr sz="800" b="1">
                    <a:solidFill>
                      <a:srgbClr val="FFFFFF"/>
                    </a:solidFill>
                    <a:latin typeface="Arial"/>
                  </a:defRPr>
                </a:pPr>
                <a:r>
                  <a:t/>
                </a:r>
                <a:endParaRPr sz="800" b="1">
                  <a:solidFill>
                    <a:srgbClr val="FFFFFF"/>
                  </a:solidFill>
                  <a:latin typeface="Arial"/>
                </a:endParaRPr>
              </a:p>
            </txPr>
            <dLblPos val="ctr"/>
            <showLegendKey val="0"/>
            <showVal val="1"/>
            <showCatName val="0"/>
            <showSerName val="0"/>
            <showPercent val="0"/>
            <showBubbleSize val="0"/>
          </dLbls>
          <cat>
            <strRef>
              <f>'Claude extension'!$F$46:$F$49</f>
            </strRef>
          </cat>
          <val>
            <numRef>
              <f>'Claude extension'!$H$46:$H$49</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crossAx val="100"/>
        <lblOffset val="100"/>
      </catAx>
      <valAx>
        <axId val="100"/>
        <scaling>
          <orientation val="minMax"/>
          <max val="24"/>
          <min val="0"/>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Answers on the 12 scored cases (AI-judged)</a:t>
                </a:r>
              </a:p>
            </rich>
          </tx>
          <overlay val="0"/>
        </title>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B6576"/>
                </a:solidFill>
                <a:latin typeface="Arial"/>
              </a:defRPr>
            </a:pPr>
            <a:r>
              <a:t/>
            </a:r>
            <a:endParaRPr sz="800" b="0">
              <a:solidFill>
                <a:srgbClr val="5B6576"/>
              </a:solidFill>
              <a:latin typeface="Arial"/>
            </a:endParaRPr>
          </a:p>
        </txPr>
        <crossAx val="10"/>
        <crosses val="max"/>
      </valAx>
    </plotArea>
    <legend>
      <legendPos val="b"/>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legend>
    <plotVisOnly val="1"/>
    <dispBlanksAs val="gap"/>
  </chart>
</chartSpace>
</file>

<file path=xl/charts/chart13.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0B1F3A"/>
                </a:solidFill>
                <a:latin typeface="Arial"/>
              </a:defRPr>
            </a:pPr>
            <a:r>
              <a:rPr sz="1100" b="1">
                <a:solidFill>
                  <a:srgbClr val="0B1F3A"/>
                </a:solidFill>
                <a:latin typeface="Arial"/>
              </a:rPr>
              <a:t>Kimi K3 was slower than Gemini on every run; full text was slower in 10 of 12 case-model pairs</a:t>
            </a:r>
          </a:p>
        </rich>
      </tx>
      <overlay val="0"/>
    </title>
    <plotArea>
      <barChart>
        <barDir val="col"/>
        <grouping val="clustered"/>
        <ser>
          <idx val="0"/>
          <order val="0"/>
          <tx>
            <strRef>
              <f>'Document extension'!B43</f>
            </strRef>
          </tx>
          <spPr>
            <a:solidFill xmlns:a="http://schemas.openxmlformats.org/drawingml/2006/main">
              <a:srgbClr val="7FA3E0"/>
            </a:solidFill>
            <a:ln xmlns:a="http://schemas.openxmlformats.org/drawingml/2006/main">
              <a:solidFill>
                <a:srgbClr val="7FA3E0"/>
              </a:solidFill>
              <a:prstDash val="solid"/>
            </a:ln>
          </spPr>
          <dLbls>
            <numFmt formatCode="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'Document extension'!$A$44:$A$49</f>
            </strRef>
          </cat>
          <val>
            <numRef>
              <f>'Document extension'!$B$44:$B$49</f>
            </numRef>
          </val>
        </ser>
        <ser>
          <idx val="1"/>
          <order val="1"/>
          <tx>
            <strRef>
              <f>'Document extension'!C43</f>
            </strRef>
          </tx>
          <spPr>
            <a:solidFill xmlns:a="http://schemas.openxmlformats.org/drawingml/2006/main">
              <a:srgbClr val="0038A8"/>
            </a:solidFill>
            <a:ln xmlns:a="http://schemas.openxmlformats.org/drawingml/2006/main">
              <a:solidFill>
                <a:srgbClr val="0038A8"/>
              </a:solidFill>
              <a:prstDash val="solid"/>
            </a:ln>
          </spPr>
          <dLbls>
            <numFmt formatCode="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'Document extension'!$A$44:$A$49</f>
            </strRef>
          </cat>
          <val>
            <numRef>
              <f>'Document extension'!$C$44:$C$49</f>
            </numRef>
          </val>
        </ser>
        <ser>
          <idx val="2"/>
          <order val="2"/>
          <tx>
            <strRef>
              <f>'Document extension'!D43</f>
            </strRef>
          </tx>
          <spPr>
            <a:solidFill xmlns:a="http://schemas.openxmlformats.org/drawingml/2006/main">
              <a:srgbClr val="D9B46A"/>
            </a:solidFill>
            <a:ln xmlns:a="http://schemas.openxmlformats.org/drawingml/2006/main">
              <a:solidFill>
                <a:srgbClr val="D9B46A"/>
              </a:solidFill>
              <a:prstDash val="solid"/>
            </a:ln>
          </spPr>
          <dLbls>
            <numFmt formatCode="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'Document extension'!$A$44:$A$49</f>
            </strRef>
          </cat>
          <val>
            <numRef>
              <f>'Document extension'!$D$44:$D$49</f>
            </numRef>
          </val>
        </ser>
        <ser>
          <idx val="3"/>
          <order val="3"/>
          <tx>
            <strRef>
              <f>'Document extension'!E43</f>
            </strRef>
          </tx>
          <spPr>
            <a:solidFill xmlns:a="http://schemas.openxmlformats.org/drawingml/2006/main">
              <a:srgbClr val="8A6100"/>
            </a:solidFill>
            <a:ln xmlns:a="http://schemas.openxmlformats.org/drawingml/2006/main">
              <a:solidFill>
                <a:srgbClr val="8A6100"/>
              </a:solidFill>
              <a:prstDash val="solid"/>
            </a:ln>
          </spPr>
          <dLbls>
            <numFmt formatCode="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'Document extension'!$A$44:$A$49</f>
            </strRef>
          </cat>
          <val>
            <numRef>
              <f>'Document extension'!$E$44:$E$49</f>
            </numRef>
          </val>
        </ser>
        <gapWidth val="40"/>
        <axId val="10"/>
        <axId val="100"/>
      </barChart>
      <catAx>
        <axId val="10"/>
        <scaling>
          <orientation val="minMax"/>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Case</a:t>
                </a:r>
              </a:p>
            </rich>
          </tx>
          <overlay val="0"/>
        </title>
        <majorTickMark val="none"/>
        <minorTickMark val="none"/>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crossAx val="100"/>
        <lblOffset val="100"/>
      </catAx>
      <valAx>
        <axId val="100"/>
        <scaling>
          <orientation val="minMax"/>
          <min val="0"/>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Latency, send to finish (s)</a:t>
                </a:r>
              </a:p>
            </rich>
          </tx>
          <overlay val="0"/>
        </title>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B6576"/>
                </a:solidFill>
                <a:latin typeface="Arial"/>
              </a:defRPr>
            </a:pPr>
            <a:r>
              <a:t/>
            </a:r>
            <a:endParaRPr sz="800" b="0">
              <a:solidFill>
                <a:srgbClr val="5B6576"/>
              </a:solidFill>
              <a:latin typeface="Arial"/>
            </a:endParaRPr>
          </a:p>
        </txPr>
        <crossAx val="10"/>
      </valAx>
    </plotArea>
    <legend>
      <legendPos val="b"/>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legend>
    <plotVisOnly val="1"/>
    <dispBlanksAs val="gap"/>
  </chart>
</chartSpace>
</file>

<file path=xl/charts/chart14.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0B1F3A"/>
                </a:solidFill>
                <a:latin typeface="Arial"/>
              </a:defRPr>
            </a:pPr>
            <a:r>
              <a:rPr sz="1100" b="1">
                <a:solidFill>
                  <a:srgbClr val="0B1F3A"/>
                </a:solidFill>
                <a:latin typeface="Arial"/>
              </a:rPr>
              <a:t>Full text cost more in 12 of 12 pairs; the costliest run was US$0.28 (Kimi, W3-02 full text)</a:t>
            </a:r>
          </a:p>
        </rich>
      </tx>
      <overlay val="0"/>
    </title>
    <plotArea>
      <barChart>
        <barDir val="col"/>
        <grouping val="clustered"/>
        <ser>
          <idx val="0"/>
          <order val="0"/>
          <tx>
            <strRef>
              <f>'Document extension'!B52</f>
            </strRef>
          </tx>
          <spPr>
            <a:solidFill xmlns:a="http://schemas.openxmlformats.org/drawingml/2006/main">
              <a:srgbClr val="7FA3E0"/>
            </a:solidFill>
            <a:ln xmlns:a="http://schemas.openxmlformats.org/drawingml/2006/main">
              <a:solidFill>
                <a:srgbClr val="7FA3E0"/>
              </a:solidFill>
              <a:prstDash val="solid"/>
            </a:ln>
          </spPr>
          <dLbls>
            <numFmt formatCode="&quot;$&quot;0.0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'Document extension'!$A$53:$A$58</f>
            </strRef>
          </cat>
          <val>
            <numRef>
              <f>'Document extension'!$B$53:$B$58</f>
            </numRef>
          </val>
        </ser>
        <ser>
          <idx val="1"/>
          <order val="1"/>
          <tx>
            <strRef>
              <f>'Document extension'!C52</f>
            </strRef>
          </tx>
          <spPr>
            <a:solidFill xmlns:a="http://schemas.openxmlformats.org/drawingml/2006/main">
              <a:srgbClr val="0038A8"/>
            </a:solidFill>
            <a:ln xmlns:a="http://schemas.openxmlformats.org/drawingml/2006/main">
              <a:solidFill>
                <a:srgbClr val="0038A8"/>
              </a:solidFill>
              <a:prstDash val="solid"/>
            </a:ln>
          </spPr>
          <dLbls>
            <numFmt formatCode="&quot;$&quot;0.0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'Document extension'!$A$53:$A$58</f>
            </strRef>
          </cat>
          <val>
            <numRef>
              <f>'Document extension'!$C$53:$C$58</f>
            </numRef>
          </val>
        </ser>
        <ser>
          <idx val="2"/>
          <order val="2"/>
          <tx>
            <strRef>
              <f>'Document extension'!D52</f>
            </strRef>
          </tx>
          <spPr>
            <a:solidFill xmlns:a="http://schemas.openxmlformats.org/drawingml/2006/main">
              <a:srgbClr val="D9B46A"/>
            </a:solidFill>
            <a:ln xmlns:a="http://schemas.openxmlformats.org/drawingml/2006/main">
              <a:solidFill>
                <a:srgbClr val="D9B46A"/>
              </a:solidFill>
              <a:prstDash val="solid"/>
            </a:ln>
          </spPr>
          <dLbls>
            <numFmt formatCode="&quot;$&quot;0.0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'Document extension'!$A$53:$A$58</f>
            </strRef>
          </cat>
          <val>
            <numRef>
              <f>'Document extension'!$D$53:$D$58</f>
            </numRef>
          </val>
        </ser>
        <ser>
          <idx val="3"/>
          <order val="3"/>
          <tx>
            <strRef>
              <f>'Document extension'!E52</f>
            </strRef>
          </tx>
          <spPr>
            <a:solidFill xmlns:a="http://schemas.openxmlformats.org/drawingml/2006/main">
              <a:srgbClr val="8A6100"/>
            </a:solidFill>
            <a:ln xmlns:a="http://schemas.openxmlformats.org/drawingml/2006/main">
              <a:solidFill>
                <a:srgbClr val="8A6100"/>
              </a:solidFill>
              <a:prstDash val="solid"/>
            </a:ln>
          </spPr>
          <dLbls>
            <numFmt formatCode="&quot;$&quot;0.0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'Document extension'!$A$53:$A$58</f>
            </strRef>
          </cat>
          <val>
            <numRef>
              <f>'Document extension'!$E$53:$E$58</f>
            </numRef>
          </val>
        </ser>
        <gapWidth val="40"/>
        <axId val="10"/>
        <axId val="100"/>
      </barChart>
      <catAx>
        <axId val="10"/>
        <scaling>
          <orientation val="minMax"/>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Case</a:t>
                </a:r>
              </a:p>
            </rich>
          </tx>
          <overlay val="0"/>
        </title>
        <majorTickMark val="none"/>
        <minorTickMark val="none"/>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crossAx val="100"/>
        <lblOffset val="100"/>
      </catAx>
      <valAx>
        <axId val="100"/>
        <scaling>
          <orientation val="minMax"/>
          <min val="0"/>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Cost per run (US$)</a:t>
                </a:r>
              </a:p>
            </rich>
          </tx>
          <overlay val="0"/>
        </title>
        <numFmt formatCode="&quot;$&quot;0.0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B6576"/>
                </a:solidFill>
                <a:latin typeface="Arial"/>
              </a:defRPr>
            </a:pPr>
            <a:r>
              <a:t/>
            </a:r>
            <a:endParaRPr sz="800" b="0">
              <a:solidFill>
                <a:srgbClr val="5B6576"/>
              </a:solidFill>
              <a:latin typeface="Arial"/>
            </a:endParaRPr>
          </a:p>
        </txPr>
        <crossAx val="10"/>
      </valAx>
    </plotArea>
    <legend>
      <legendPos val="b"/>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legend>
    <plotVisOnly val="1"/>
    <dispBlanksAs val="gap"/>
  </chart>
</chartSpace>
</file>

<file path=xl/charts/chart15.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0B1F3A"/>
                </a:solidFill>
                <a:latin typeface="Arial"/>
              </a:defRPr>
            </a:pPr>
            <a:r>
              <a:rPr sz="1100" b="1">
                <a:solidFill>
                  <a:srgbClr val="0B1F3A"/>
                </a:solidFill>
                <a:latin typeface="Arial"/>
              </a:rPr>
              <a:t>The whole document multiplied input tokens 5x to 58x over the excerpt (log scale)</a:t>
            </a:r>
          </a:p>
        </rich>
      </tx>
      <overlay val="0"/>
    </title>
    <plotArea>
      <barChart>
        <barDir val="col"/>
        <grouping val="clustered"/>
        <ser>
          <idx val="0"/>
          <order val="0"/>
          <tx>
            <strRef>
              <f>'Document extension'!B61</f>
            </strRef>
          </tx>
          <spPr>
            <a:solidFill xmlns:a="http://schemas.openxmlformats.org/drawingml/2006/main">
              <a:srgbClr val="7FA3E0"/>
            </a:solidFill>
            <a:ln xmlns:a="http://schemas.openxmlformats.org/drawingml/2006/main">
              <a:solidFill>
                <a:srgbClr val="7FA3E0"/>
              </a:solidFill>
              <a:prstDash val="solid"/>
            </a:ln>
          </spPr>
          <dLbls>
            <numFmt formatCode="#,##0,&quot;k&quot;"/>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'Document extension'!$A$62:$A$67</f>
            </strRef>
          </cat>
          <val>
            <numRef>
              <f>'Document extension'!$B$62:$B$67</f>
            </numRef>
          </val>
        </ser>
        <ser>
          <idx val="1"/>
          <order val="1"/>
          <tx>
            <strRef>
              <f>'Document extension'!C61</f>
            </strRef>
          </tx>
          <spPr>
            <a:solidFill xmlns:a="http://schemas.openxmlformats.org/drawingml/2006/main">
              <a:srgbClr val="0038A8"/>
            </a:solidFill>
            <a:ln xmlns:a="http://schemas.openxmlformats.org/drawingml/2006/main">
              <a:solidFill>
                <a:srgbClr val="0038A8"/>
              </a:solidFill>
              <a:prstDash val="solid"/>
            </a:ln>
          </spPr>
          <dLbls>
            <numFmt formatCode="#,##0,&quot;k&quot;"/>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'Document extension'!$A$62:$A$67</f>
            </strRef>
          </cat>
          <val>
            <numRef>
              <f>'Document extension'!$C$62:$C$67</f>
            </numRef>
          </val>
        </ser>
        <ser>
          <idx val="2"/>
          <order val="2"/>
          <tx>
            <strRef>
              <f>'Document extension'!D61</f>
            </strRef>
          </tx>
          <spPr>
            <a:solidFill xmlns:a="http://schemas.openxmlformats.org/drawingml/2006/main">
              <a:srgbClr val="D9B46A"/>
            </a:solidFill>
            <a:ln xmlns:a="http://schemas.openxmlformats.org/drawingml/2006/main">
              <a:solidFill>
                <a:srgbClr val="D9B46A"/>
              </a:solidFill>
              <a:prstDash val="solid"/>
            </a:ln>
          </spPr>
          <dLbls>
            <numFmt formatCode="#,##0,&quot;k&quot;"/>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'Document extension'!$A$62:$A$67</f>
            </strRef>
          </cat>
          <val>
            <numRef>
              <f>'Document extension'!$D$62:$D$67</f>
            </numRef>
          </val>
        </ser>
        <ser>
          <idx val="3"/>
          <order val="3"/>
          <tx>
            <strRef>
              <f>'Document extension'!E61</f>
            </strRef>
          </tx>
          <spPr>
            <a:solidFill xmlns:a="http://schemas.openxmlformats.org/drawingml/2006/main">
              <a:srgbClr val="8A6100"/>
            </a:solidFill>
            <a:ln xmlns:a="http://schemas.openxmlformats.org/drawingml/2006/main">
              <a:solidFill>
                <a:srgbClr val="8A6100"/>
              </a:solidFill>
              <a:prstDash val="solid"/>
            </a:ln>
          </spPr>
          <dLbls>
            <numFmt formatCode="#,##0,&quot;k&quot;"/>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'Document extension'!$A$62:$A$67</f>
            </strRef>
          </cat>
          <val>
            <numRef>
              <f>'Document extension'!$E$62:$E$67</f>
            </numRef>
          </val>
        </ser>
        <gapWidth val="40"/>
        <axId val="10"/>
        <axId val="100"/>
      </barChart>
      <catAx>
        <axId val="10"/>
        <scaling>
          <orientation val="minMax"/>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Case</a:t>
                </a:r>
              </a:p>
            </rich>
          </tx>
          <overlay val="0"/>
        </title>
        <majorTickMark val="none"/>
        <minorTickMark val="none"/>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crossAx val="100"/>
        <lblOffset val="100"/>
      </catAx>
      <valAx>
        <axId val="100"/>
        <scaling>
          <logBase val="10"/>
          <orientation val="minMax"/>
          <min val="1"/>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Input tokens (log scale)</a:t>
                </a:r>
              </a:p>
            </rich>
          </tx>
          <overlay val="0"/>
        </title>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B6576"/>
                </a:solidFill>
                <a:latin typeface="Arial"/>
              </a:defRPr>
            </a:pPr>
            <a:r>
              <a:t/>
            </a:r>
            <a:endParaRPr sz="800" b="0">
              <a:solidFill>
                <a:srgbClr val="5B6576"/>
              </a:solidFill>
              <a:latin typeface="Arial"/>
            </a:endParaRPr>
          </a:p>
        </txPr>
        <crossAx val="10"/>
      </valAx>
    </plotArea>
    <legend>
      <legendPos val="b"/>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legend>
    <plotVisOnly val="1"/>
    <dispBlanksAs val="gap"/>
  </chart>
</chartSpace>
</file>

<file path=xl/charts/chart16.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0B1F3A"/>
                </a:solidFill>
                <a:latin typeface="Arial"/>
              </a:defRPr>
            </a:pPr>
            <a:r>
              <a:rPr sz="1100" b="1">
                <a:solidFill>
                  <a:srgbClr val="0B1F3A"/>
                </a:solidFill>
                <a:latin typeface="Arial"/>
              </a:rPr>
              <a:t>All billed AI work cost US$7.16; case drafting and retries (Kimi, Claude judge) drove the largest bills</a:t>
            </a:r>
          </a:p>
        </rich>
      </tx>
      <overlay val="0"/>
    </title>
    <plotArea>
      <barChart>
        <barDir val="bar"/>
        <grouping val="clustered"/>
        <ser>
          <idx val="0"/>
          <order val="0"/>
          <tx>
            <strRef>
              <f>'Costs and time'!B25</f>
            </strRef>
          </tx>
          <spPr>
            <a:solidFill xmlns:a="http://schemas.openxmlformats.org/drawingml/2006/main">
              <a:srgbClr val="8A94A6"/>
            </a:solidFill>
            <a:ln xmlns:a="http://schemas.openxmlformats.org/drawingml/2006/main">
              <a:solidFill>
                <a:srgbClr val="8A94A6"/>
              </a:solidFill>
              <a:prstDash val="solid"/>
            </a:ln>
          </spPr>
          <dLbls>
            <numFmt formatCode="&quot;$&quot;0.0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'Costs and time'!$A$26:$A$33</f>
            </strRef>
          </cat>
          <val>
            <numRef>
              <f>'Costs and time'!$B$26:$B$33</f>
            </numRef>
          </val>
        </ser>
        <ser>
          <idx val="1"/>
          <order val="1"/>
          <tx>
            <strRef>
              <f>'Costs and time'!C25</f>
            </strRef>
          </tx>
          <spPr>
            <a:solidFill xmlns:a="http://schemas.openxmlformats.org/drawingml/2006/main">
              <a:srgbClr val="0038A8"/>
            </a:solidFill>
            <a:ln xmlns:a="http://schemas.openxmlformats.org/drawingml/2006/main">
              <a:solidFill>
                <a:srgbClr val="0038A8"/>
              </a:solidFill>
              <a:prstDash val="solid"/>
            </a:ln>
          </spPr>
          <dLbls>
            <numFmt formatCode="&quot;$&quot;0.0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'Costs and time'!$A$26:$A$33</f>
            </strRef>
          </cat>
          <val>
            <numRef>
              <f>'Costs and time'!$C$26:$C$33</f>
            </numRef>
          </val>
        </ser>
        <gapWidth val="4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crossAx val="100"/>
        <lblOffset val="100"/>
      </catAx>
      <valAx>
        <axId val="100"/>
        <scaling>
          <orientation val="minMax"/>
          <min val="0"/>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US$</a:t>
                </a:r>
              </a:p>
            </rich>
          </tx>
          <overlay val="0"/>
        </title>
        <numFmt formatCode="&quot;$&quot;0.0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B6576"/>
                </a:solidFill>
                <a:latin typeface="Arial"/>
              </a:defRPr>
            </a:pPr>
            <a:r>
              <a:t/>
            </a:r>
            <a:endParaRPr sz="800" b="0">
              <a:solidFill>
                <a:srgbClr val="5B6576"/>
              </a:solidFill>
              <a:latin typeface="Arial"/>
            </a:endParaRPr>
          </a:p>
        </txPr>
        <crossAx val="10"/>
        <crosses val="max"/>
      </valAx>
    </plotArea>
    <legend>
      <legendPos val="b"/>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2.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s>
</file>

<file path=xl/drawings/_rels/drawing3.xml.rels><Relationships xmlns="http://schemas.openxmlformats.org/package/2006/relationships"><Relationship Type="http://schemas.openxmlformats.org/officeDocument/2006/relationships/chart" Target="/xl/charts/chart6.xml" Id="rId1"/></Relationships>
</file>

<file path=xl/drawings/_rels/drawing4.xml.rels><Relationships xmlns="http://schemas.openxmlformats.org/package/2006/relationships"><Relationship Type="http://schemas.openxmlformats.org/officeDocument/2006/relationships/chart" Target="/xl/charts/chart7.xml" Id="rId1"/></Relationships>
</file>

<file path=xl/drawings/_rels/drawing5.xml.rels><Relationships xmlns="http://schemas.openxmlformats.org/package/2006/relationships"><Relationship Type="http://schemas.openxmlformats.org/officeDocument/2006/relationships/chart" Target="/xl/charts/chart8.xml" Id="rId1"/><Relationship Type="http://schemas.openxmlformats.org/officeDocument/2006/relationships/chart" Target="/xl/charts/chart9.xml" Id="rId2"/></Relationships>
</file>

<file path=xl/drawings/_rels/drawing6.xml.rels><Relationships xmlns="http://schemas.openxmlformats.org/package/2006/relationships"><Relationship Type="http://schemas.openxmlformats.org/officeDocument/2006/relationships/chart" Target="/xl/charts/chart10.xml" Id="rId1"/></Relationships>
</file>

<file path=xl/drawings/_rels/drawing7.xml.rels><Relationships xmlns="http://schemas.openxmlformats.org/package/2006/relationships"><Relationship Type="http://schemas.openxmlformats.org/officeDocument/2006/relationships/chart" Target="/xl/charts/chart11.xml" Id="rId1"/><Relationship Type="http://schemas.openxmlformats.org/officeDocument/2006/relationships/chart" Target="/xl/charts/chart12.xml" Id="rId2"/></Relationships>
</file>

<file path=xl/drawings/_rels/drawing8.xml.rels><Relationships xmlns="http://schemas.openxmlformats.org/package/2006/relationships"><Relationship Type="http://schemas.openxmlformats.org/officeDocument/2006/relationships/chart" Target="/xl/charts/chart13.xml" Id="rId1"/><Relationship Type="http://schemas.openxmlformats.org/officeDocument/2006/relationships/chart" Target="/xl/charts/chart14.xml" Id="rId2"/><Relationship Type="http://schemas.openxmlformats.org/officeDocument/2006/relationships/chart" Target="/xl/charts/chart15.xml" Id="rId3"/></Relationships>
</file>

<file path=xl/drawings/_rels/drawing9.xml.rels><Relationships xmlns="http://schemas.openxmlformats.org/package/2006/relationships"><Relationship Type="http://schemas.openxmlformats.org/officeDocument/2006/relationships/chart" Target="/xl/charts/chart16.xml" Id="rId1"/></Relationships>
</file>

<file path=xl/drawings/drawing1.xml><?xml version="1.0" encoding="utf-8"?>
<wsDr xmlns="http://schemas.openxmlformats.org/drawingml/2006/spreadsheetDrawing">
  <oneCellAnchor>
    <from>
      <col>1</col>
      <colOff>0</colOff>
      <row>14</row>
      <rowOff>0</rowOff>
    </from>
    <ext cx="5688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14</row>
      <rowOff>0</rowOff>
    </from>
    <ext cx="5688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34</row>
      <rowOff>0</rowOff>
    </from>
    <ext cx="11627999"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xml><?xml version="1.0" encoding="utf-8"?>
<wsDr xmlns="http://schemas.openxmlformats.org/drawingml/2006/spreadsheetDrawing">
  <oneCellAnchor>
    <from>
      <col>0</col>
      <colOff>0</colOff>
      <row>28</row>
      <rowOff>0</rowOff>
    </from>
    <ext cx="648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48</row>
      <rowOff>0</rowOff>
    </from>
    <ext cx="648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0</col>
      <colOff>0</colOff>
      <row>25</row>
      <rowOff>0</rowOff>
    </from>
    <ext cx="720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40</row>
      <rowOff>0</rowOff>
    </from>
    <ext cx="720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27</row>
      <rowOff>0</rowOff>
    </from>
    <ext cx="648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47</row>
      <rowOff>0</rowOff>
    </from>
    <ext cx="648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6.xml><?xml version="1.0" encoding="utf-8"?>
<wsDr xmlns="http://schemas.openxmlformats.org/drawingml/2006/spreadsheetDrawing">
  <oneCellAnchor>
    <from>
      <col>0</col>
      <colOff>0</colOff>
      <row>40</row>
      <rowOff>0</rowOff>
    </from>
    <ext cx="72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xml><?xml version="1.0" encoding="utf-8"?>
<wsDr xmlns="http://schemas.openxmlformats.org/drawingml/2006/spreadsheetDrawing">
  <oneCellAnchor>
    <from>
      <col>0</col>
      <colOff>0</colOff>
      <row>50</row>
      <rowOff>0</rowOff>
    </from>
    <ext cx="72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69</row>
      <rowOff>0</rowOff>
    </from>
    <ext cx="72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8.xml><?xml version="1.0" encoding="utf-8"?>
<wsDr xmlns="http://schemas.openxmlformats.org/drawingml/2006/spreadsheetDrawing">
  <oneCellAnchor>
    <from>
      <col>0</col>
      <colOff>0</colOff>
      <row>69</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89</row>
      <rowOff>0</rowOff>
    </from>
    <ext cx="864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109</row>
      <rowOff>0</rowOff>
    </from>
    <ext cx="864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9.xml><?xml version="1.0" encoding="utf-8"?>
<wsDr xmlns="http://schemas.openxmlformats.org/drawingml/2006/spreadsheetDrawing">
  <oneCellAnchor>
    <from>
      <col>0</col>
      <colOff>0</colOff>
      <row>34</row>
      <rowOff>0</rowOff>
    </from>
    <ext cx="86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7.xml.rels><Relationships xmlns="http://schemas.openxmlformats.org/package/2006/relationships"><Relationship Type="http://schemas.openxmlformats.org/officeDocument/2006/relationships/drawing" Target="/xl/drawings/drawing5.xml" Id="rId1"/></Relationships>
</file>

<file path=xl/worksheets/_rels/sheet8.xml.rels><Relationships xmlns="http://schemas.openxmlformats.org/package/2006/relationships"><Relationship Type="http://schemas.openxmlformats.org/officeDocument/2006/relationships/drawing" Target="/xl/drawings/drawing6.xml" Id="rId1"/></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0.xml.rels><Relationships xmlns="http://schemas.openxmlformats.org/package/2006/relationships"><Relationship Type="http://schemas.openxmlformats.org/officeDocument/2006/relationships/drawing" Target="/xl/drawings/drawing8.xml" Id="rId1"/></Relationships>
</file>

<file path=xl/worksheets/_rels/sheet11.xml.rels><Relationships xmlns="http://schemas.openxmlformats.org/package/2006/relationships"><Relationship Type="http://schemas.openxmlformats.org/officeDocument/2006/relationships/drawing" Target="/xl/drawings/drawing9.xml" Id="rId1"/></Relationships>
</file>

<file path=xl/worksheets/sheet1.xml><?xml version="1.0" encoding="utf-8"?>
<worksheet xmlns="http://schemas.openxmlformats.org/spreadsheetml/2006/main">
  <sheetPr>
    <tabColor rgb="000B1F3A"/>
    <outlinePr summaryBelow="1" summaryRight="1"/>
    <pageSetUpPr fitToPage="1"/>
  </sheetPr>
  <dimension ref="A1:B43"/>
  <sheetViews>
    <sheetView showGridLines="0" workbookViewId="0">
      <pane ySplit="3" topLeftCell="A4" activePane="bottomLeft" state="frozen"/>
      <selection pane="bottomLeft" activeCell="A1" sqref="A1"/>
    </sheetView>
  </sheetViews>
  <sheetFormatPr baseColWidth="8" defaultRowHeight="15"/>
  <cols>
    <col width="30" customWidth="1" min="1" max="1"/>
    <col width="120" customWidth="1" min="2" max="2"/>
  </cols>
  <sheetData>
    <row r="1" ht="24" customHeight="1">
      <c r="A1" s="1" t="inlineStr">
        <is>
          <t>Assessment-control capstone: analysis workbook</t>
        </is>
      </c>
    </row>
    <row r="2">
      <c r="A2" s="2" t="inlineStr">
        <is>
          <t>Deterministic release checks on AI answers to Philippine university assessment-rule cases. Built 2026-09-22 by _build/build_27_workbook.py from the locked study files.</t>
        </is>
      </c>
    </row>
    <row r="4" ht="28" customHeight="1">
      <c r="A4" s="3" t="inlineStr">
        <is>
          <t>Purpose</t>
        </is>
      </c>
      <c r="B4" s="4" t="inlineStr">
        <is>
          <t>One workbook with the full analysis of a finished capstone study: whether four deterministic software checks, placed between an AI answer and its release, reduce serious errors and at what cost in useful answers withheld and human time.</t>
        </is>
      </c>
    </row>
    <row r="5" ht="56" customHeight="1">
      <c r="A5" s="3" t="inlineStr">
        <is>
          <t>Study in brief</t>
        </is>
      </c>
      <c r="B5" s="4" t="inlineStr">
        <is>
          <t>24 test cases built from nine Philippine universities' published assessment rules. Two OpenAI Codex configurations (Astra, Luna; Medium) answered each case twice (96 answers). Each answer was released two ways: directly, or through four checks (format, quotation, arithmetic in 5 cases, routing of a declared grade/approval/penalty) that could block it or route it to a person.</t>
        </is>
      </c>
    </row>
    <row r="6" ht="56" customHeight="1">
      <c r="A6" s="3" t="inlineStr">
        <is>
          <t>Human scoring</t>
        </is>
      </c>
      <c r="B6" s="4" t="inlineStr">
        <is>
          <t>The researcher read 48 of 96 answers (12 complete cases; balanced fixed order; cutoff 12:50 PM, 18 Sep 2026) and locked those scores before release decisions were joined. Twelve more were read afterwards, chosen by a rule fixed beforehand: every answer the checks had withheld and nobody had read, plus the answers that complete their cases. Sixty answers in 15 complete cases have now been read; the locked scores were not revised.</t>
        </is>
      </c>
    </row>
    <row r="7" ht="56" customHeight="1">
      <c r="A7" s="3" t="inlineStr">
        <is>
          <t>Extensions</t>
        </is>
      </c>
      <c r="B7" s="4" t="inlineStr">
        <is>
          <t>DeepSeek V4 Pro AI judge on all 96 primary answers and on 48 Claude answers (Fable 5.1, Haiku 4.5; matched to the 12 scored cases). Checks applied to all 48 answers of each Claude model. Gemini 3.1 Pro Preview and Kimi K3 answered 6 scored cases with the frozen excerpt vs the whole retained document (12 runs each). Two independent human reviewers scored subsets. The researcher confirmed three AI-flagged Claude answers afterwards.</t>
        </is>
      </c>
    </row>
    <row r="8">
      <c r="A8" s="3" t="inlineStr"/>
      <c r="B8" s="4" t="inlineStr"/>
    </row>
    <row r="9" ht="42" customHeight="1">
      <c r="A9" s="3" t="inlineStr">
        <is>
          <t>How to read</t>
        </is>
      </c>
      <c r="B9" s="4" t="inlineStr">
        <is>
          <t>Every count carries its denominator. Tables are on each sheet; charts sit below 'Chart data' blocks that hold the exact values plotted. Grey = direct release (baseline); blue = checked release or primary series; gold = Luna or routing/secondary; red = serious error or risk. A source note sits under every chart and every table.</t>
        </is>
      </c>
    </row>
    <row r="10" ht="28" customHeight="1">
      <c r="A10" s="3" t="inlineStr">
        <is>
          <t>Formulas</t>
        </is>
      </c>
      <c r="B10" s="4" t="inlineStr">
        <is>
          <t>Rates, totals and 'Direction' tests are live Excel formulas; edit an input and they recompute. Values in the chart-data blocks are static copies written by the build script.</t>
        </is>
      </c>
    </row>
    <row r="11">
      <c r="A11" s="3" t="inlineStr"/>
      <c r="B11" s="4" t="inlineStr"/>
    </row>
    <row r="12">
      <c r="A12" s="5" t="inlineStr">
        <is>
          <t>Definitions</t>
        </is>
      </c>
      <c r="B12" t="inlineStr"/>
    </row>
    <row r="13">
      <c r="A13" s="3" t="inlineStr">
        <is>
          <t>Acceptable</t>
        </is>
      </c>
      <c r="B13" s="4" t="inlineStr">
        <is>
          <t>No serious error and no undecided criterion. Correct advice to obtain missing evidence can be acceptable.</t>
        </is>
      </c>
    </row>
    <row r="14" ht="28" customHeight="1">
      <c r="A14" s="3" t="inlineStr">
        <is>
          <t>Serious</t>
        </is>
      </c>
      <c r="B14" s="4" t="inlineStr">
        <is>
          <t>Major (changes the substance or prevents a usable answer) or Critical (recommends an unsupported consequential action such as a penalty or grade change) severity.</t>
        </is>
      </c>
    </row>
    <row r="15">
      <c r="A15" s="3" t="inlineStr">
        <is>
          <t>Useful release</t>
        </is>
      </c>
      <c r="B15" s="4" t="inlineStr">
        <is>
          <t>An acceptable answer that was released (directly, or by the checks with a warning).</t>
        </is>
      </c>
    </row>
    <row r="16">
      <c r="A16" s="3" t="inlineStr">
        <is>
          <t>Unnecessary withholding</t>
        </is>
      </c>
      <c r="B16" s="4" t="inlineStr">
        <is>
          <t>An acceptable answer that the checks routed or blocked. Reported separately for routed and blocked.</t>
        </is>
      </c>
    </row>
    <row r="17" ht="28" customHeight="1">
      <c r="A17" s="3" t="inlineStr">
        <is>
          <t>Routed vs blocked</t>
        </is>
      </c>
      <c r="B17" s="4" t="inlineStr">
        <is>
          <t>Routed = sent to a person because the answer declared a grade, approval or penalty. Blocked = withheld because a format, quotation or arithmetic check failed.</t>
        </is>
      </c>
    </row>
    <row r="18" ht="42" customHeight="1">
      <c r="A18" s="3" t="inlineStr">
        <is>
          <t>Scheduled vs read</t>
        </is>
      </c>
      <c r="B18" s="4" t="inlineStr">
        <is>
          <t>Scheduled = all answers in a condition (48). Read = answers a person has judged (30 per condition). Answers nobody has read stay in scheduled denominators and can be neither useful nor serious; bounds on the Sensitivity sheet show the effect.</t>
        </is>
      </c>
    </row>
    <row r="19">
      <c r="A19" s="3" t="inlineStr">
        <is>
          <t>Released with warning</t>
        </is>
      </c>
      <c r="B19" s="4" t="inlineStr">
        <is>
          <t>Checked route: passed all checks; released with a note that checks are partial.</t>
        </is>
      </c>
    </row>
    <row r="20">
      <c r="A20" s="3" t="inlineStr"/>
      <c r="B20" s="4" t="inlineStr"/>
    </row>
    <row r="21">
      <c r="A21" s="5" t="inlineStr">
        <is>
          <t>Caveats</t>
        </is>
      </c>
      <c r="B21" t="inlineStr"/>
    </row>
    <row r="22" ht="42" customHeight="1">
      <c r="A22" s="3" t="inlineStr">
        <is>
          <t>Coverage</t>
        </is>
      </c>
      <c r="B22" s="4" t="inlineStr">
        <is>
          <t>Sixty of 96 answers (15 of 24 cases) have been read, including all 16 the checks withheld. None was serious, so the checks' ability to catch a serious error is untested on the primary set, while their cost is now measured on every answer they withheld.</t>
        </is>
      </c>
    </row>
    <row r="23" ht="28" customHeight="1">
      <c r="A23" s="3" t="inlineStr">
        <is>
          <t>Single researcher</t>
        </is>
      </c>
      <c r="B23" s="4" t="inlineStr">
        <is>
          <t>One familiar researcher scored, timed and designed the study; masking was partial. Two independent reviewers covered 8 scored answers.</t>
        </is>
      </c>
    </row>
    <row r="24">
      <c r="A24" s="3" t="inlineStr">
        <is>
          <t>Answer keys</t>
        </is>
      </c>
      <c r="B24" s="4" t="inlineStr">
        <is>
          <t>Answer keys were AI-drafted and researcher-verified; they were not independently validated.</t>
        </is>
      </c>
    </row>
    <row r="25" ht="28" customHeight="1">
      <c r="A25" s="3" t="inlineStr">
        <is>
          <t>AI-judged results</t>
        </is>
      </c>
      <c r="B25" s="4" t="inlineStr">
        <is>
          <t>Results labelled 'AI-judged' come from a DeepSeek V4 Pro judge, a cross-check that never replaced a human score. Claude answers were not human-scored except 3 confirmation scores given after seeing the judge's view.</t>
        </is>
      </c>
    </row>
    <row r="26" ht="28" customHeight="1">
      <c r="A26" s="3" t="inlineStr">
        <is>
          <t>Scope</t>
        </is>
      </c>
      <c r="B26" s="4" t="inlineStr">
        <is>
          <t>Results describe these cases and configurations only. They are not national rates and do not rank providers. Bootstrap intervals describe sensitivity to case composition, not population bounds.</t>
        </is>
      </c>
    </row>
    <row r="27" ht="28" customHeight="1">
      <c r="A27" s="3" t="inlineStr">
        <is>
          <t>Privacy</t>
        </is>
      </c>
      <c r="B27" s="4" t="inlineStr">
        <is>
          <t>No masked-ID-to-model mapping and no primary run IDs appear in this workbook. Reviewers are labelled Reviewer 1, 2 and 3.</t>
        </is>
      </c>
    </row>
    <row r="28">
      <c r="A28" s="3" t="inlineStr"/>
      <c r="B28" s="4" t="inlineStr"/>
    </row>
    <row r="29">
      <c r="A29" s="5" t="inlineStr">
        <is>
          <t>Sheets and sources</t>
        </is>
      </c>
      <c r="B29" t="inlineStr"/>
    </row>
    <row r="30">
      <c r="A30" s="3" t="inlineStr">
        <is>
          <t>Dashboard</t>
        </is>
      </c>
      <c r="B30" s="4" t="inlineStr">
        <is>
          <t>Tiles and three headline charts (sources as on the linked sheets).</t>
        </is>
      </c>
    </row>
    <row r="31" ht="42" customHeight="1">
      <c r="A31" s="3" t="inlineStr">
        <is>
          <t>Primary outcomes</t>
        </is>
      </c>
      <c r="B31" s="4" t="inlineStr">
        <is>
          <t>21_EXPERIMENT_EXECUTION_PACKAGE/analysis/supplement/supplement_results_with_extension.json (S2, S7, S10, S10b, S12); 21_EXPERIMENT_EXECUTION_PACKAGE/scoring/researcher_scores.json and 21_EXPERIMENT_EXECUTION_PACKAGE/analysis/locked_score_gate_join.json (severity by model, aggregated).</t>
        </is>
      </c>
    </row>
    <row r="32">
      <c r="A32" s="3" t="inlineStr">
        <is>
          <t>Workflows</t>
        </is>
      </c>
      <c r="B32" s="4" t="inlineStr">
        <is>
          <t>21_EXPERIMENT_EXECUTION_PACKAGE/analysis/supplement/supplement_results_with_extension.json (S5).</t>
        </is>
      </c>
    </row>
    <row r="33">
      <c r="A33" s="3" t="inlineStr">
        <is>
          <t>Checks</t>
        </is>
      </c>
      <c r="B33" s="4" t="inlineStr">
        <is>
          <t>21_EXPERIMENT_EXECUTION_PACKAGE/analysis/locked_score_gate_join.json (checked-route traces); supplement S4, S11.</t>
        </is>
      </c>
    </row>
    <row r="34">
      <c r="A34" s="3" t="inlineStr">
        <is>
          <t>Sensitivity</t>
        </is>
      </c>
      <c r="B34" s="4" t="inlineStr">
        <is>
          <t>21_EXPERIMENT_EXECUTION_PACKAGE/analysis/supplement/supplement_results_with_extension.json (S6a, S6b, S14, S16).</t>
        </is>
      </c>
    </row>
    <row r="35">
      <c r="A35" s="3" t="inlineStr">
        <is>
          <t>Timing</t>
        </is>
      </c>
      <c r="B35" s="4" t="inlineStr">
        <is>
          <t>21_EXPERIMENT_EXECUTION_PACKAGE/analysis/supplement/supplement_results_with_extension.json (S8, S13).</t>
        </is>
      </c>
    </row>
    <row r="36" ht="28" customHeight="1">
      <c r="A36" s="3" t="inlineStr">
        <is>
          <t>Agreement</t>
        </is>
      </c>
      <c r="B36" s="4" t="inlineStr">
        <is>
          <t>21_EXPERIMENT_EXECUTION_PACKAGE/analysis/supplement/reviewer_agreement.json; 23_AI_JUDGE_EXTENSION_PACKAGE/analysis/agreement_with_human_all_read.json; 23_AI_JUDGE_EXTENSION_PACKAGE/parsed_outputs with private map (aggregated).</t>
        </is>
      </c>
    </row>
    <row r="37" ht="42" customHeight="1">
      <c r="A37" s="3" t="inlineStr">
        <is>
          <t>Claude extension</t>
        </is>
      </c>
      <c r="B37" s="4" t="inlineStr">
        <is>
          <t>21_EXPERIMENT_EXECUTION_PACKAGE/analysis/supplement/extension_controls.json; 26_CLAUDE_AI_JUDGE_EXTENSION parsed_outputs, run_records; 25_CLAUDE_MATCHED_SCORING_EXTENSION/CONFIRMATION_SCORES_2026-09-18.json; checks reproduced with 21_EXPERIMENT_EXECUTION_PACKAGE/code/experiment.py safe_gate.</t>
        </is>
      </c>
    </row>
    <row r="38" ht="28" customHeight="1">
      <c r="A38" s="3" t="inlineStr">
        <is>
          <t>Document extension</t>
        </is>
      </c>
      <c r="B38" s="4" t="inlineStr">
        <is>
          <t>24_DOCUMENT_EVIDENCE_EXTENSION_PACKAGE/{gemini,kimi_optional}/run_records and parsed_outputs; observations/auto_citation_check.json.</t>
        </is>
      </c>
    </row>
    <row r="39" ht="28" customHeight="1">
      <c r="A39" s="3" t="inlineStr">
        <is>
          <t>Costs and time</t>
        </is>
      </c>
      <c r="B39" s="4" t="inlineStr">
        <is>
          <t>Billing: openrouter_activity_2026-09-18_2.csv (source of truth, Sep 17 to 18), openrouter_activity_2026-09-07.csv, openrouter_activity_2026-09-18.csv (Sep 16 rows only). Kept-run costs: run records in packages 24 and 26.</t>
        </is>
      </c>
    </row>
    <row r="40">
      <c r="A40" s="3" t="inlineStr">
        <is>
          <t>Source checks</t>
        </is>
      </c>
      <c r="B40" s="4" t="inlineStr">
        <is>
          <t>Cross-checks between sources and against previously verified totals; discrepancies noted.</t>
        </is>
      </c>
    </row>
    <row r="41">
      <c r="A41" s="3" t="inlineStr">
        <is>
          <t>Data dictionary</t>
        </is>
      </c>
      <c r="B41" s="4" t="inlineStr">
        <is>
          <t>Field definitions used across sheets.</t>
        </is>
      </c>
    </row>
    <row r="42">
      <c r="A42" s="3" t="inlineStr"/>
      <c r="B42" s="4" t="inlineStr"/>
    </row>
    <row r="43" ht="28" customHeight="1">
      <c r="A43" s="3" t="inlineStr">
        <is>
          <t>Rebuild</t>
        </is>
      </c>
      <c r="B43" s="4" t="inlineStr">
        <is>
          <t>python3 22_RESEARCH_AUDIT_AND_RESULTS_READY_PACKAGE/_build/build_27_workbook.py  (reads sources only; rewrites this workbook).</t>
        </is>
      </c>
    </row>
  </sheetData>
  <pageMargins left="0.75" right="0.75" top="1" bottom="1" header="0.5" footer="0.5"/>
  <pageSetup orientation="landscape" paperSize="9" fitToHeight="0" fitToWidth="1"/>
</worksheet>
</file>

<file path=xl/worksheets/sheet2.xml><?xml version="1.0" encoding="utf-8"?>
<worksheet xmlns="http://schemas.openxmlformats.org/spreadsheetml/2006/main">
  <sheetPr>
    <tabColor rgb="000038A8"/>
    <outlinePr summaryBelow="1" summaryRight="1"/>
    <pageSetUpPr fitToPage="1"/>
  </sheetPr>
  <dimension ref="A1:P54"/>
  <sheetViews>
    <sheetView showGridLines="0" workbookViewId="0">
      <selection pane="bottomLeft" activeCell="A1" sqref="A1"/>
    </sheetView>
  </sheetViews>
  <sheetFormatPr baseColWidth="8" defaultRowHeight="15"/>
  <cols>
    <col width="2" customWidth="1" min="1" max="1"/>
    <col width="13" customWidth="1" min="2" max="2"/>
    <col width="13" customWidth="1" min="3" max="3"/>
    <col width="13" customWidth="1" min="4" max="4"/>
    <col width="2" customWidth="1" min="5" max="5"/>
    <col width="13" customWidth="1" min="6" max="6"/>
    <col width="13" customWidth="1" min="7" max="7"/>
    <col width="13" customWidth="1" min="8" max="8"/>
    <col width="2" customWidth="1" min="9" max="9"/>
    <col width="13" customWidth="1" min="10" max="10"/>
    <col width="13" customWidth="1" min="11" max="11"/>
    <col width="13" customWidth="1" min="12" max="12"/>
    <col width="2" customWidth="1" min="13" max="13"/>
    <col width="13" customWidth="1" min="14" max="14"/>
    <col width="13" customWidth="1" min="15" max="15"/>
    <col width="13" customWidth="1" min="16" max="16"/>
  </cols>
  <sheetData>
    <row r="1" ht="24" customHeight="1">
      <c r="A1" s="1" t="inlineStr">
        <is>
          <t>Summary dashboard</t>
        </is>
      </c>
    </row>
    <row r="2">
      <c r="A2" s="2" t="inlineStr">
        <is>
          <t>Key results at a glance. Counts carry their denominators; see README for definitions and caveats.</t>
        </is>
      </c>
    </row>
    <row r="4">
      <c r="B4" s="6" t="inlineStr">
        <is>
          <t>96</t>
        </is>
      </c>
      <c r="C4" s="7" t="n"/>
      <c r="D4" s="7" t="n"/>
      <c r="F4" s="6" t="inlineStr">
        <is>
          <t>60 of 96</t>
        </is>
      </c>
      <c r="G4" s="7" t="n"/>
      <c r="H4" s="7" t="n"/>
      <c r="J4" s="6" t="inlineStr">
        <is>
          <t>0</t>
        </is>
      </c>
      <c r="K4" s="7" t="n"/>
      <c r="L4" s="7" t="n"/>
      <c r="N4" s="8" t="inlineStr">
        <is>
          <t>44 vs 60</t>
        </is>
      </c>
      <c r="O4" s="7" t="n"/>
      <c r="P4" s="7" t="n"/>
    </row>
    <row r="5">
      <c r="B5" s="7" t="n"/>
      <c r="C5" s="7" t="n"/>
      <c r="D5" s="7" t="n"/>
      <c r="F5" s="7" t="n"/>
      <c r="G5" s="7" t="n"/>
      <c r="H5" s="7" t="n"/>
      <c r="J5" s="7" t="n"/>
      <c r="K5" s="7" t="n"/>
      <c r="L5" s="7" t="n"/>
      <c r="N5" s="7" t="n"/>
      <c r="O5" s="7" t="n"/>
      <c r="P5" s="7" t="n"/>
    </row>
    <row r="6">
      <c r="B6" s="9" t="inlineStr">
        <is>
          <t>AI answers generated</t>
        </is>
      </c>
      <c r="C6" s="7" t="n"/>
      <c r="D6" s="7" t="n"/>
      <c r="F6" s="9" t="inlineStr">
        <is>
          <t>answers read by a person</t>
        </is>
      </c>
      <c r="G6" s="7" t="n"/>
      <c r="H6" s="7" t="n"/>
      <c r="J6" s="9" t="inlineStr">
        <is>
          <t>serious errors among scored</t>
        </is>
      </c>
      <c r="K6" s="7" t="n"/>
      <c r="L6" s="7" t="n"/>
      <c r="N6" s="9" t="inlineStr">
        <is>
          <t>useful releases: checked vs direct</t>
        </is>
      </c>
      <c r="O6" s="7" t="n"/>
      <c r="P6" s="7" t="n"/>
    </row>
    <row r="7" ht="22" customHeight="1">
      <c r="B7" s="10" t="inlineStr">
        <is>
          <t>2 Codex configurations x 24 cases x 2 repetitions</t>
        </is>
      </c>
      <c r="C7" s="7" t="n"/>
      <c r="D7" s="7" t="n"/>
      <c r="F7" s="10" t="inlineStr">
        <is>
          <t>15 complete cases; the first 48 locked before analysis</t>
        </is>
      </c>
      <c r="G7" s="7" t="n"/>
      <c r="H7" s="7" t="n"/>
      <c r="J7" s="10" t="inlineStr">
        <is>
          <t>60 of 60 scored answers acceptable</t>
        </is>
      </c>
      <c r="K7" s="7" t="n"/>
      <c r="L7" s="7" t="n"/>
      <c r="N7" s="10" t="inlineStr">
        <is>
          <t>of 60 answers read and judged acceptable</t>
        </is>
      </c>
      <c r="O7" s="7" t="n"/>
      <c r="P7" s="7" t="n"/>
    </row>
    <row r="9">
      <c r="B9" s="11" t="inlineStr">
        <is>
          <t>16</t>
        </is>
      </c>
      <c r="C9" s="7" t="n"/>
      <c r="D9" s="7" t="n"/>
      <c r="F9" s="8" t="inlineStr">
        <is>
          <t>60 / 60</t>
        </is>
      </c>
      <c r="G9" s="7" t="n"/>
      <c r="H9" s="7" t="n"/>
      <c r="J9" s="12" t="inlineStr">
        <is>
          <t>2 of 2</t>
        </is>
      </c>
      <c r="K9" s="7" t="n"/>
      <c r="L9" s="7" t="n"/>
      <c r="N9" s="6" t="inlineStr">
        <is>
          <t>US$7.16</t>
        </is>
      </c>
      <c r="O9" s="7" t="n"/>
      <c r="P9" s="7" t="n"/>
    </row>
    <row r="10">
      <c r="B10" s="7" t="n"/>
      <c r="C10" s="7" t="n"/>
      <c r="D10" s="7" t="n"/>
      <c r="F10" s="7" t="n"/>
      <c r="G10" s="7" t="n"/>
      <c r="H10" s="7" t="n"/>
      <c r="J10" s="7" t="n"/>
      <c r="K10" s="7" t="n"/>
      <c r="L10" s="7" t="n"/>
      <c r="N10" s="7" t="n"/>
      <c r="O10" s="7" t="n"/>
      <c r="P10" s="7" t="n"/>
    </row>
    <row r="11">
      <c r="B11" s="9" t="inlineStr">
        <is>
          <t>acceptable answers withheld by checks</t>
        </is>
      </c>
      <c r="C11" s="7" t="n"/>
      <c r="D11" s="7" t="n"/>
      <c r="F11" s="9" t="inlineStr">
        <is>
          <t>AI judge matched human acceptability</t>
        </is>
      </c>
      <c r="G11" s="7" t="n"/>
      <c r="H11" s="7" t="n"/>
      <c r="J11" s="9" t="inlineStr">
        <is>
          <t>Critical Claude answers released by checks</t>
        </is>
      </c>
      <c r="K11" s="7" t="n"/>
      <c r="L11" s="7" t="n"/>
      <c r="N11" s="9" t="inlineStr">
        <is>
          <t>total billed AI spend</t>
        </is>
      </c>
      <c r="O11" s="7" t="n"/>
      <c r="P11" s="7" t="n"/>
    </row>
    <row r="12" ht="22" customHeight="1">
      <c r="B12" s="10" t="inlineStr">
        <is>
          <t>Astra 7, Luna 9 (of 24 each)</t>
        </is>
      </c>
      <c r="C12" s="7" t="n"/>
      <c r="D12" s="7" t="n"/>
      <c r="F12" s="10" t="inlineStr">
        <is>
          <t>severity exact 54/60</t>
        </is>
      </c>
      <c r="G12" s="7" t="n"/>
      <c r="H12" s="7" t="n"/>
      <c r="J12" s="10" t="inlineStr">
        <is>
          <t>human-confirmed after AI-judge flag (not blind)</t>
        </is>
      </c>
      <c r="K12" s="7" t="n"/>
      <c r="L12" s="7" t="n"/>
      <c r="N12" s="10" t="inlineStr">
        <is>
          <t>kept runs US$3.27 where recorded; Codex and desktop Claude not metered</t>
        </is>
      </c>
      <c r="O12" s="7" t="n"/>
      <c r="P12" s="7" t="n"/>
    </row>
    <row r="13">
      <c r="B13" s="13" t="inlineStr">
        <is>
          <t>Tiles are computed by the build script from the source files named on each sheet. Serious = Major or Critical. Useful release = acceptable answer that was released.</t>
        </is>
      </c>
    </row>
    <row r="33">
      <c r="B33" s="14" t="inlineStr">
        <is>
          <t>Source: supplement_results.json S2 (Primary outcomes sheet).</t>
        </is>
      </c>
      <c r="J33" s="14" t="inlineStr">
        <is>
          <t>Source: extension_controls.json (Claude extension sheet).</t>
        </is>
      </c>
    </row>
    <row r="54">
      <c r="B54" s="14" t="inlineStr">
        <is>
          <t>Source: OpenRouter activity CSVs and run records (Costs and time sheet). Subscription use not metered.</t>
        </is>
      </c>
    </row>
  </sheetData>
  <mergeCells count="24">
    <mergeCell ref="B11:D11"/>
    <mergeCell ref="J6:L6"/>
    <mergeCell ref="B4:D5"/>
    <mergeCell ref="F4:H5"/>
    <mergeCell ref="N4:P5"/>
    <mergeCell ref="J11:L11"/>
    <mergeCell ref="J7:L7"/>
    <mergeCell ref="J9:L10"/>
    <mergeCell ref="J12:L12"/>
    <mergeCell ref="B6:D6"/>
    <mergeCell ref="N6:P6"/>
    <mergeCell ref="J4:L5"/>
    <mergeCell ref="B7:D7"/>
    <mergeCell ref="F11:H11"/>
    <mergeCell ref="N11:P11"/>
    <mergeCell ref="N7:P7"/>
    <mergeCell ref="F6:H6"/>
    <mergeCell ref="N12:P12"/>
    <mergeCell ref="B9:D10"/>
    <mergeCell ref="F12:H12"/>
    <mergeCell ref="F7:H7"/>
    <mergeCell ref="B12:D12"/>
    <mergeCell ref="F9:H10"/>
    <mergeCell ref="N9:P10"/>
  </mergeCells>
  <pageMargins left="0.75" right="0.75" top="1" bottom="1" header="0.5" footer="0.5"/>
  <pageSetup orientation="landscape" paperSize="9" fitToHeight="0" fitToWidth="1"/>
  <drawing xmlns:r="http://schemas.openxmlformats.org/officeDocument/2006/relationships" r:id="rId1"/>
</worksheet>
</file>

<file path=xl/worksheets/sheet3.xml><?xml version="1.0" encoding="utf-8"?>
<worksheet xmlns="http://schemas.openxmlformats.org/spreadsheetml/2006/main">
  <sheetPr>
    <tabColor rgb="00D5DAE1"/>
    <outlinePr summaryBelow="1" summaryRight="1"/>
    <pageSetUpPr fitToPage="1"/>
  </sheetPr>
  <dimension ref="A1:S67"/>
  <sheetViews>
    <sheetView showGridLines="0" workbookViewId="0">
      <pane ySplit="3" topLeftCell="A4" activePane="bottomLeft" state="frozen"/>
      <selection pane="bottomLeft" activeCell="A1" sqref="A1"/>
    </sheetView>
  </sheetViews>
  <sheetFormatPr baseColWidth="8" defaultRowHeight="15"/>
  <cols>
    <col width="2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2" customWidth="1" min="9" max="9"/>
    <col width="11" customWidth="1" min="10" max="10"/>
    <col width="11" customWidth="1" min="11" max="11"/>
    <col width="11" customWidth="1" min="12" max="12"/>
    <col width="11" customWidth="1" min="13" max="13"/>
    <col width="12" customWidth="1" min="14" max="14"/>
    <col width="13" customWidth="1" min="15" max="15"/>
    <col width="11" customWidth="1" min="16" max="16"/>
    <col width="12" customWidth="1" min="17" max="17"/>
    <col width="11" customWidth="1" min="18" max="18"/>
    <col width="11" customWidth="1" min="19" max="19"/>
    <col width="12" customWidth="1" min="20" max="20"/>
  </cols>
  <sheetData>
    <row r="1" ht="24" customHeight="1">
      <c r="A1" s="1" t="inlineStr">
        <is>
          <t>Primary outcomes by condition</t>
        </is>
      </c>
    </row>
    <row r="2">
      <c r="A2" s="2" t="inlineStr">
        <is>
          <t>Two Codex configurations (Astra, Luna; Medium) x two release routes. Same 48 answers per model under each route; 30 of 48 per condition have been read, including every answer the checks withheld.</t>
        </is>
      </c>
    </row>
    <row r="4">
      <c r="A4" s="5" t="inlineStr">
        <is>
          <t>Table 1. Outcomes per condition (scheduled denominator = 48 answers; read = 30)</t>
        </is>
      </c>
    </row>
    <row r="5" ht="30" customHeight="1">
      <c r="A5" s="15" t="inlineStr">
        <is>
          <t>Condition</t>
        </is>
      </c>
      <c r="B5" s="16" t="inlineStr">
        <is>
          <t>Answers scheduled</t>
        </is>
      </c>
      <c r="C5" s="16" t="inlineStr">
        <is>
          <t>Human-scored</t>
        </is>
      </c>
      <c r="D5" s="16" t="inlineStr">
        <is>
          <t>Acceptable (scored)</t>
        </is>
      </c>
      <c r="E5" s="16" t="inlineStr">
        <is>
          <t>Serious among scored</t>
        </is>
      </c>
      <c r="F5" s="16" t="inlineStr">
        <is>
          <t>Serious released</t>
        </is>
      </c>
      <c r="G5" s="16" t="inlineStr">
        <is>
          <t>Useful releases</t>
        </is>
      </c>
      <c r="H5" s="16" t="inlineStr">
        <is>
          <t>Useful rate, of scored</t>
        </is>
      </c>
      <c r="I5" s="16" t="inlineStr">
        <is>
          <t>Useful rate, of scheduled</t>
        </is>
      </c>
      <c r="J5" s="16" t="inlineStr">
        <is>
          <t>Interval low (scheduled)</t>
        </is>
      </c>
      <c r="K5" s="16" t="inlineStr">
        <is>
          <t>Interval high (scheduled)</t>
        </is>
      </c>
      <c r="L5" s="16" t="inlineStr">
        <is>
          <t>Acceptable withheld: routed</t>
        </is>
      </c>
      <c r="M5" s="16" t="inlineStr">
        <is>
          <t>Acceptable withheld: blocked</t>
        </is>
      </c>
      <c r="N5" s="16" t="inlineStr">
        <is>
          <t>Acceptable withheld: total</t>
        </is>
      </c>
      <c r="O5" s="16" t="inlineStr">
        <is>
          <t>All 48: released</t>
        </is>
      </c>
      <c r="P5" s="16" t="inlineStr">
        <is>
          <t>All 48: released with warning</t>
        </is>
      </c>
      <c r="Q5" s="16" t="inlineStr">
        <is>
          <t>All 48: routed to a person</t>
        </is>
      </c>
      <c r="R5" s="16" t="inlineStr">
        <is>
          <t>All 48: blocked</t>
        </is>
      </c>
      <c r="S5" s="16" t="inlineStr">
        <is>
          <t>Release coverage (all 48)</t>
        </is>
      </c>
    </row>
    <row r="6">
      <c r="A6" s="17" t="inlineStr">
        <is>
          <t>Astra, direct</t>
        </is>
      </c>
      <c r="B6" s="18" t="n">
        <v>48</v>
      </c>
      <c r="C6" s="18" t="n">
        <v>30</v>
      </c>
      <c r="D6" s="18" t="n">
        <v>30</v>
      </c>
      <c r="E6" s="18" t="n">
        <v>0</v>
      </c>
      <c r="F6" s="18" t="n">
        <v>0</v>
      </c>
      <c r="G6" s="18" t="n">
        <v>30</v>
      </c>
      <c r="H6" s="19">
        <f>G6/C6</f>
        <v>1.0</v>
      </c>
      <c r="I6" s="20">
        <f>G6/B6</f>
        <v>0.625</v>
      </c>
      <c r="J6" s="20" t="n">
        <v>0.4166666666666667</v>
      </c>
      <c r="K6" s="20" t="n">
        <v>0.8333333333333334</v>
      </c>
      <c r="L6" s="18" t="n">
        <v>0</v>
      </c>
      <c r="M6" s="18" t="n">
        <v>0</v>
      </c>
      <c r="N6" s="18">
        <f>L6+M6</f>
        <v>0</v>
      </c>
      <c r="O6" s="18" t="n">
        <v>48</v>
      </c>
      <c r="P6" s="18" t="n">
        <v>0</v>
      </c>
      <c r="Q6" s="18" t="n">
        <v>0</v>
      </c>
      <c r="R6" s="18" t="n">
        <v>0</v>
      </c>
      <c r="S6" s="20">
        <f>(O6+P6)/B6</f>
        <v>1.0</v>
      </c>
    </row>
    <row r="7">
      <c r="A7" s="21" t="inlineStr">
        <is>
          <t>Astra, checked</t>
        </is>
      </c>
      <c r="B7" s="22" t="n">
        <v>48</v>
      </c>
      <c r="C7" s="22" t="n">
        <v>30</v>
      </c>
      <c r="D7" s="22" t="n">
        <v>30</v>
      </c>
      <c r="E7" s="22" t="n">
        <v>0</v>
      </c>
      <c r="F7" s="22" t="n">
        <v>0</v>
      </c>
      <c r="G7" s="22" t="n">
        <v>23</v>
      </c>
      <c r="H7" s="23">
        <f>G7/C7</f>
        <v>0.7666666666666667</v>
      </c>
      <c r="I7" s="24">
        <f>G7/B7</f>
        <v>0.4791666666666667</v>
      </c>
      <c r="J7" s="24" t="n">
        <v>0.2916666666666667</v>
      </c>
      <c r="K7" s="24" t="n">
        <v>0.6666666666666666</v>
      </c>
      <c r="L7" s="22" t="n">
        <v>5</v>
      </c>
      <c r="M7" s="22" t="n">
        <v>2</v>
      </c>
      <c r="N7" s="22">
        <f>L7+M7</f>
        <v>7</v>
      </c>
      <c r="O7" s="22" t="n">
        <v>0</v>
      </c>
      <c r="P7" s="22" t="n">
        <v>41</v>
      </c>
      <c r="Q7" s="22" t="n">
        <v>5</v>
      </c>
      <c r="R7" s="22" t="n">
        <v>2</v>
      </c>
      <c r="S7" s="24">
        <f>(O7+P7)/B7</f>
        <v>0.8541666666666666</v>
      </c>
    </row>
    <row r="8">
      <c r="A8" s="17" t="inlineStr">
        <is>
          <t>Luna, direct</t>
        </is>
      </c>
      <c r="B8" s="18" t="n">
        <v>48</v>
      </c>
      <c r="C8" s="18" t="n">
        <v>30</v>
      </c>
      <c r="D8" s="18" t="n">
        <v>30</v>
      </c>
      <c r="E8" s="18" t="n">
        <v>0</v>
      </c>
      <c r="F8" s="18" t="n">
        <v>0</v>
      </c>
      <c r="G8" s="18" t="n">
        <v>30</v>
      </c>
      <c r="H8" s="19">
        <f>G8/C8</f>
        <v>1.0</v>
      </c>
      <c r="I8" s="20">
        <f>G8/B8</f>
        <v>0.625</v>
      </c>
      <c r="J8" s="20" t="n">
        <v>0.4166666666666667</v>
      </c>
      <c r="K8" s="20" t="n">
        <v>0.8333333333333334</v>
      </c>
      <c r="L8" s="18" t="n">
        <v>0</v>
      </c>
      <c r="M8" s="18" t="n">
        <v>0</v>
      </c>
      <c r="N8" s="18">
        <f>L8+M8</f>
        <v>0</v>
      </c>
      <c r="O8" s="18" t="n">
        <v>48</v>
      </c>
      <c r="P8" s="18" t="n">
        <v>0</v>
      </c>
      <c r="Q8" s="18" t="n">
        <v>0</v>
      </c>
      <c r="R8" s="18" t="n">
        <v>0</v>
      </c>
      <c r="S8" s="20">
        <f>(O8+P8)/B8</f>
        <v>1.0</v>
      </c>
    </row>
    <row r="9">
      <c r="A9" s="21" t="inlineStr">
        <is>
          <t>Luna, checked</t>
        </is>
      </c>
      <c r="B9" s="22" t="n">
        <v>48</v>
      </c>
      <c r="C9" s="22" t="n">
        <v>30</v>
      </c>
      <c r="D9" s="22" t="n">
        <v>30</v>
      </c>
      <c r="E9" s="22" t="n">
        <v>0</v>
      </c>
      <c r="F9" s="22" t="n">
        <v>0</v>
      </c>
      <c r="G9" s="22" t="n">
        <v>21</v>
      </c>
      <c r="H9" s="23">
        <f>G9/C9</f>
        <v>0.7</v>
      </c>
      <c r="I9" s="24">
        <f>G9/B9</f>
        <v>0.4375</v>
      </c>
      <c r="J9" s="24" t="n">
        <v>0.2708333333333333</v>
      </c>
      <c r="K9" s="24" t="n">
        <v>0.625</v>
      </c>
      <c r="L9" s="22" t="n">
        <v>6</v>
      </c>
      <c r="M9" s="22" t="n">
        <v>3</v>
      </c>
      <c r="N9" s="22">
        <f>L9+M9</f>
        <v>9</v>
      </c>
      <c r="O9" s="22" t="n">
        <v>0</v>
      </c>
      <c r="P9" s="22" t="n">
        <v>39</v>
      </c>
      <c r="Q9" s="22" t="n">
        <v>6</v>
      </c>
      <c r="R9" s="22" t="n">
        <v>3</v>
      </c>
      <c r="S9" s="24">
        <f>(O9+P9)/B9</f>
        <v>0.8125</v>
      </c>
    </row>
    <row r="10">
      <c r="A10" s="13" t="inlineStr">
        <is>
          <t>Interval = case-cluster percentile bootstrap for useful release over the 48 scheduled answers (supplement S2). It describes sensitivity to benchmark composition, not a population bound. Serious = Major or Critical severity. Answers nobody has read stay in the denominator.</t>
        </is>
      </c>
    </row>
    <row r="11">
      <c r="A11" s="13" t="inlineStr">
        <is>
          <t>Serious-answer interval is undefined (degenerate: no serious answers among scored). 'Serious withheld' is 0/0 in every condition for the same reason.</t>
        </is>
      </c>
    </row>
    <row r="13">
      <c r="A13" s="5" t="inlineStr">
        <is>
          <t>Table 2. Human severity of the 60 answers read, by model (aggregate)</t>
        </is>
      </c>
    </row>
    <row r="14" ht="30" customHeight="1">
      <c r="A14" s="15" t="inlineStr">
        <is>
          <t>Model</t>
        </is>
      </c>
      <c r="B14" s="16" t="inlineStr">
        <is>
          <t>None</t>
        </is>
      </c>
      <c r="C14" s="16" t="inlineStr">
        <is>
          <t>Minor</t>
        </is>
      </c>
      <c r="D14" s="16" t="inlineStr">
        <is>
          <t>Major</t>
        </is>
      </c>
      <c r="E14" s="16" t="inlineStr">
        <is>
          <t>Critical</t>
        </is>
      </c>
      <c r="F14" s="16" t="inlineStr">
        <is>
          <t>Total scored</t>
        </is>
      </c>
    </row>
    <row r="15">
      <c r="A15" s="17" t="inlineStr">
        <is>
          <t>Astra (Codex)</t>
        </is>
      </c>
      <c r="B15" s="18" t="n">
        <v>29</v>
      </c>
      <c r="C15" s="18" t="n">
        <v>1</v>
      </c>
      <c r="D15" s="18" t="n">
        <v>0</v>
      </c>
      <c r="E15" s="18" t="n">
        <v>0</v>
      </c>
      <c r="F15" s="18">
        <f>SUM(B15:E15)</f>
        <v>30</v>
      </c>
    </row>
    <row r="16">
      <c r="A16" s="21" t="inlineStr">
        <is>
          <t>Luna (Codex)</t>
        </is>
      </c>
      <c r="B16" s="22" t="n">
        <v>24</v>
      </c>
      <c r="C16" s="22" t="n">
        <v>6</v>
      </c>
      <c r="D16" s="22" t="n">
        <v>0</v>
      </c>
      <c r="E16" s="22" t="n">
        <v>0</v>
      </c>
      <c r="F16" s="22">
        <f>SUM(B16:E16)</f>
        <v>30</v>
      </c>
    </row>
    <row r="18">
      <c r="A18" s="5" t="inlineStr">
        <is>
          <t>Table 3. Consistency and case-level trade-off (15 cases read in full per model)</t>
        </is>
      </c>
    </row>
    <row r="19" ht="30" customHeight="1">
      <c r="A19" s="15" t="inlineStr">
        <is>
          <t>Model</t>
        </is>
      </c>
      <c r="B19" s="16" t="inlineStr">
        <is>
          <t>Cases with both repetitions scored</t>
        </is>
      </c>
      <c r="C19" s="16" t="inlineStr">
        <is>
          <t>Same label both repetitions</t>
        </is>
      </c>
      <c r="D19" s="16" t="inlineStr">
        <is>
          <t>Criterion correctness (scored-case mean)</t>
        </is>
      </c>
      <c r="E19" s="16" t="inlineStr">
        <is>
          <t>Cases: checks gave more useful releases</t>
        </is>
      </c>
      <c r="F19" s="16" t="inlineStr">
        <is>
          <t>Cases: checks gave fewer</t>
        </is>
      </c>
      <c r="G19" s="16" t="inlineStr">
        <is>
          <t>Cases: unchanged</t>
        </is>
      </c>
      <c r="H19" s="16" t="inlineStr">
        <is>
          <t>Cases: checks withheld only serious</t>
        </is>
      </c>
      <c r="I19" s="16" t="inlineStr">
        <is>
          <t>Cases: withheld only acceptable</t>
        </is>
      </c>
      <c r="J19" s="16" t="inlineStr">
        <is>
          <t>Cases: withheld both</t>
        </is>
      </c>
      <c r="K19" s="16" t="inlineStr">
        <is>
          <t>Cases: withheld neither</t>
        </is>
      </c>
      <c r="L19" s="16" t="inlineStr">
        <is>
          <t>Cases not evaluable (unscored)</t>
        </is>
      </c>
    </row>
    <row r="20">
      <c r="A20" s="17" t="inlineStr">
        <is>
          <t>Astra (Codex)</t>
        </is>
      </c>
      <c r="B20" s="18" t="n">
        <v>15</v>
      </c>
      <c r="C20" s="18" t="n">
        <v>15</v>
      </c>
      <c r="D20" s="25" t="n">
        <v>1</v>
      </c>
      <c r="E20" s="18" t="n">
        <v>0</v>
      </c>
      <c r="F20" s="18" t="n">
        <v>4</v>
      </c>
      <c r="G20" s="18" t="n">
        <v>11</v>
      </c>
      <c r="H20" s="18" t="n">
        <v>0</v>
      </c>
      <c r="I20" s="18" t="n">
        <v>4</v>
      </c>
      <c r="J20" s="18" t="n">
        <v>0</v>
      </c>
      <c r="K20" s="18" t="n">
        <v>11</v>
      </c>
      <c r="L20" s="18" t="n">
        <v>9</v>
      </c>
    </row>
    <row r="21">
      <c r="A21" s="21" t="inlineStr">
        <is>
          <t>Luna (Codex)</t>
        </is>
      </c>
      <c r="B21" s="22" t="n">
        <v>15</v>
      </c>
      <c r="C21" s="22" t="n">
        <v>15</v>
      </c>
      <c r="D21" s="26" t="n">
        <v>0.9472222222222222</v>
      </c>
      <c r="E21" s="22" t="n">
        <v>0</v>
      </c>
      <c r="F21" s="22" t="n">
        <v>7</v>
      </c>
      <c r="G21" s="22" t="n">
        <v>8</v>
      </c>
      <c r="H21" s="22" t="n">
        <v>0</v>
      </c>
      <c r="I21" s="22" t="n">
        <v>7</v>
      </c>
      <c r="J21" s="22" t="n">
        <v>0</v>
      </c>
      <c r="K21" s="22" t="n">
        <v>8</v>
      </c>
      <c r="L21" s="22" t="n">
        <v>9</v>
      </c>
    </row>
    <row r="22">
      <c r="A22" s="13" t="inlineStr">
        <is>
          <t>Source: supplement S7, S10, S10b, S12. One-sided case counts should not be reported without the trade-off columns.</t>
        </is>
      </c>
    </row>
    <row r="24">
      <c r="A24" s="5" t="inlineStr">
        <is>
          <t>Chart data (values used by the charts below)</t>
        </is>
      </c>
    </row>
    <row r="25">
      <c r="A25" s="27" t="inlineStr">
        <is>
          <t>Model</t>
        </is>
      </c>
      <c r="B25" s="27" t="inlineStr">
        <is>
          <t>Direct</t>
        </is>
      </c>
      <c r="C25" s="27" t="inlineStr">
        <is>
          <t>Checked</t>
        </is>
      </c>
      <c r="D25" s="27" t="n"/>
      <c r="E25" s="27" t="inlineStr">
        <is>
          <t>Model</t>
        </is>
      </c>
      <c r="F25" s="27" t="inlineStr">
        <is>
          <t>Direct</t>
        </is>
      </c>
      <c r="G25" s="27" t="inlineStr">
        <is>
          <t>Checked</t>
        </is>
      </c>
    </row>
    <row r="26">
      <c r="A26" s="27" t="inlineStr">
        <is>
          <t>Astra</t>
        </is>
      </c>
      <c r="B26" s="27" t="n">
        <v>30</v>
      </c>
      <c r="C26" s="27" t="n">
        <v>23</v>
      </c>
      <c r="D26" s="27" t="n"/>
      <c r="E26" s="27" t="inlineStr">
        <is>
          <t>Astra</t>
        </is>
      </c>
      <c r="F26" s="27" t="n">
        <v>0</v>
      </c>
      <c r="G26" s="27" t="n">
        <v>0</v>
      </c>
    </row>
    <row r="27">
      <c r="A27" s="27" t="inlineStr">
        <is>
          <t>Luna</t>
        </is>
      </c>
      <c r="B27" s="27" t="n">
        <v>30</v>
      </c>
      <c r="C27" s="27" t="n">
        <v>21</v>
      </c>
      <c r="D27" s="27" t="n"/>
      <c r="E27" s="27" t="inlineStr">
        <is>
          <t>Luna</t>
        </is>
      </c>
      <c r="F27" s="27" t="n">
        <v>0</v>
      </c>
      <c r="G27" s="27" t="n">
        <v>0</v>
      </c>
    </row>
    <row r="47">
      <c r="A47" s="14" t="inlineStr">
        <is>
          <t>Source: locked_score_gate_join.json via supplement_results.json S2 (useful_release among 24 human-scored answers per condition).</t>
        </is>
      </c>
    </row>
    <row r="67">
      <c r="A67" s="14" t="inlineStr">
        <is>
          <t>Source: supplement_results.json S2 serious_released; researcher_scores.json severities (41 None, 7 Minor, 0 Major, 0 Critical).</t>
        </is>
      </c>
    </row>
  </sheetData>
  <pageMargins left="0.75" right="0.75" top="1" bottom="1" header="0.5" footer="0.5"/>
  <pageSetup orientation="landscape" paperSize="9" fitToHeight="0" fitToWidth="1"/>
  <drawing xmlns:r="http://schemas.openxmlformats.org/officeDocument/2006/relationships" r:id="rId1"/>
</worksheet>
</file>

<file path=xl/worksheets/sheet4.xml><?xml version="1.0" encoding="utf-8"?>
<worksheet xmlns="http://schemas.openxmlformats.org/spreadsheetml/2006/main">
  <sheetPr>
    <tabColor rgb="00D5DAE1"/>
    <outlinePr summaryBelow="1" summaryRight="1"/>
    <pageSetUpPr fitToPage="1"/>
  </sheetPr>
  <dimension ref="A1:L44"/>
  <sheetViews>
    <sheetView showGridLines="0" workbookViewId="0">
      <pane ySplit="3" topLeftCell="A4" activePane="bottomLeft" state="frozen"/>
      <selection pane="bottomLeft" activeCell="A1" sqref="A1"/>
    </sheetView>
  </sheetViews>
  <sheetFormatPr baseColWidth="8" defaultRowHeight="15"/>
  <cols>
    <col width="16" customWidth="1" min="1" max="1"/>
    <col width="18" customWidth="1" min="2" max="2"/>
    <col width="11" customWidth="1" min="3" max="3"/>
    <col width="11" customWidth="1" min="4" max="4"/>
    <col width="11" customWidth="1" min="5" max="5"/>
    <col width="11" customWidth="1" min="6" max="6"/>
    <col width="11" customWidth="1" min="7" max="7"/>
    <col width="12" customWidth="1" min="8" max="8"/>
    <col width="12" customWidth="1" min="9" max="9"/>
    <col width="12" customWidth="1" min="10" max="10"/>
    <col width="12" customWidth="1" min="11" max="11"/>
    <col width="12" customWidth="1" min="12" max="12"/>
  </cols>
  <sheetData>
    <row r="1" ht="24" customHeight="1">
      <c r="A1" s="1" t="inlineStr">
        <is>
          <t>Outcomes by workflow (W1 to W3)</t>
        </is>
      </c>
    </row>
    <row r="2">
      <c r="A2" s="2" t="inlineStr">
        <is>
          <t>W1 evidence, source and version; W2 delegation and referral; W3 calculation and configuration. 8 cases per workflow; 16 answers per condition; 8 scored.</t>
        </is>
      </c>
    </row>
    <row r="4">
      <c r="A4" s="5" t="inlineStr">
        <is>
          <t>Table 1. Workflow by condition</t>
        </is>
      </c>
    </row>
    <row r="5" ht="30" customHeight="1">
      <c r="A5" s="15" t="inlineStr">
        <is>
          <t>Workflow</t>
        </is>
      </c>
      <c r="B5" s="16" t="inlineStr">
        <is>
          <t>Condition</t>
        </is>
      </c>
      <c r="C5" s="16" t="inlineStr">
        <is>
          <t>Scheduled</t>
        </is>
      </c>
      <c r="D5" s="16" t="inlineStr">
        <is>
          <t>Scored</t>
        </is>
      </c>
      <c r="E5" s="16" t="inlineStr">
        <is>
          <t>Acceptable (scored)</t>
        </is>
      </c>
      <c r="F5" s="16" t="inlineStr">
        <is>
          <t>Serious released</t>
        </is>
      </c>
      <c r="G5" s="16" t="inlineStr">
        <is>
          <t>Useful releases</t>
        </is>
      </c>
      <c r="H5" s="16" t="inlineStr">
        <is>
          <t>Useful rate, of scored</t>
        </is>
      </c>
      <c r="I5" s="16" t="inlineStr">
        <is>
          <t>Acceptable withheld: routed</t>
        </is>
      </c>
      <c r="J5" s="16" t="inlineStr">
        <is>
          <t>Acceptable withheld: blocked</t>
        </is>
      </c>
      <c r="K5" s="16" t="inlineStr">
        <is>
          <t>Acceptable withheld: total</t>
        </is>
      </c>
      <c r="L5" s="16" t="inlineStr">
        <is>
          <t>Interval low (scheduled)</t>
        </is>
      </c>
    </row>
    <row r="6">
      <c r="A6" s="17" t="inlineStr">
        <is>
          <t>W1 Evidence, source, version</t>
        </is>
      </c>
      <c r="B6" s="28" t="inlineStr">
        <is>
          <t>Astra, direct</t>
        </is>
      </c>
      <c r="C6" s="18" t="n">
        <v>16</v>
      </c>
      <c r="D6" s="18" t="n">
        <v>12</v>
      </c>
      <c r="E6" s="18" t="n">
        <v>12</v>
      </c>
      <c r="F6" s="18" t="n">
        <v>0</v>
      </c>
      <c r="G6" s="18" t="n">
        <v>12</v>
      </c>
      <c r="H6" s="19">
        <f>G6/D6</f>
        <v>1.0</v>
      </c>
      <c r="I6" s="18" t="n">
        <v>0</v>
      </c>
      <c r="J6" s="18" t="n">
        <v>0</v>
      </c>
      <c r="K6" s="18">
        <f>I6+J6</f>
        <v>0</v>
      </c>
      <c r="L6" s="20" t="n">
        <v>0.375</v>
      </c>
    </row>
    <row r="7">
      <c r="A7" s="21" t="inlineStr">
        <is>
          <t>W1 Evidence, source, version</t>
        </is>
      </c>
      <c r="B7" s="29" t="inlineStr">
        <is>
          <t>Astra, checked</t>
        </is>
      </c>
      <c r="C7" s="22" t="n">
        <v>16</v>
      </c>
      <c r="D7" s="22" t="n">
        <v>12</v>
      </c>
      <c r="E7" s="22" t="n">
        <v>12</v>
      </c>
      <c r="F7" s="22" t="n">
        <v>0</v>
      </c>
      <c r="G7" s="22" t="n">
        <v>8</v>
      </c>
      <c r="H7" s="23">
        <f>G7/D7</f>
        <v>0.6666666666666666</v>
      </c>
      <c r="I7" s="22" t="n">
        <v>2</v>
      </c>
      <c r="J7" s="22" t="n">
        <v>2</v>
      </c>
      <c r="K7" s="22">
        <f>I7+J7</f>
        <v>4</v>
      </c>
      <c r="L7" s="24" t="n">
        <v>0.125</v>
      </c>
    </row>
    <row r="8">
      <c r="A8" s="17" t="inlineStr">
        <is>
          <t>W1 Evidence, source, version</t>
        </is>
      </c>
      <c r="B8" s="28" t="inlineStr">
        <is>
          <t>Luna, direct</t>
        </is>
      </c>
      <c r="C8" s="18" t="n">
        <v>16</v>
      </c>
      <c r="D8" s="18" t="n">
        <v>12</v>
      </c>
      <c r="E8" s="18" t="n">
        <v>12</v>
      </c>
      <c r="F8" s="18" t="n">
        <v>0</v>
      </c>
      <c r="G8" s="18" t="n">
        <v>12</v>
      </c>
      <c r="H8" s="19">
        <f>G8/D8</f>
        <v>1.0</v>
      </c>
      <c r="I8" s="18" t="n">
        <v>0</v>
      </c>
      <c r="J8" s="18" t="n">
        <v>0</v>
      </c>
      <c r="K8" s="18">
        <f>I8+J8</f>
        <v>0</v>
      </c>
      <c r="L8" s="20" t="n">
        <v>0.375</v>
      </c>
    </row>
    <row r="9">
      <c r="A9" s="21" t="inlineStr">
        <is>
          <t>W1 Evidence, source, version</t>
        </is>
      </c>
      <c r="B9" s="29" t="inlineStr">
        <is>
          <t>Luna, checked</t>
        </is>
      </c>
      <c r="C9" s="22" t="n">
        <v>16</v>
      </c>
      <c r="D9" s="22" t="n">
        <v>12</v>
      </c>
      <c r="E9" s="22" t="n">
        <v>12</v>
      </c>
      <c r="F9" s="22" t="n">
        <v>0</v>
      </c>
      <c r="G9" s="22" t="n">
        <v>10</v>
      </c>
      <c r="H9" s="23">
        <f>G9/D9</f>
        <v>0.8333333333333334</v>
      </c>
      <c r="I9" s="22" t="n">
        <v>1</v>
      </c>
      <c r="J9" s="22" t="n">
        <v>1</v>
      </c>
      <c r="K9" s="22">
        <f>I9+J9</f>
        <v>2</v>
      </c>
      <c r="L9" s="24" t="n">
        <v>0.3125</v>
      </c>
    </row>
    <row r="10">
      <c r="A10" s="17" t="inlineStr">
        <is>
          <t>W2 Delegation, referral</t>
        </is>
      </c>
      <c r="B10" s="28" t="inlineStr">
        <is>
          <t>Astra, direct</t>
        </is>
      </c>
      <c r="C10" s="18" t="n">
        <v>16</v>
      </c>
      <c r="D10" s="18" t="n">
        <v>8</v>
      </c>
      <c r="E10" s="18" t="n">
        <v>8</v>
      </c>
      <c r="F10" s="18" t="n">
        <v>0</v>
      </c>
      <c r="G10" s="18" t="n">
        <v>8</v>
      </c>
      <c r="H10" s="19">
        <f>G10/D10</f>
        <v>1.0</v>
      </c>
      <c r="I10" s="18" t="n">
        <v>0</v>
      </c>
      <c r="J10" s="18" t="n">
        <v>0</v>
      </c>
      <c r="K10" s="18">
        <f>I10+J10</f>
        <v>0</v>
      </c>
      <c r="L10" s="20" t="n">
        <v>0.125</v>
      </c>
    </row>
    <row r="11">
      <c r="A11" s="21" t="inlineStr">
        <is>
          <t>W2 Delegation, referral</t>
        </is>
      </c>
      <c r="B11" s="29" t="inlineStr">
        <is>
          <t>Astra, checked</t>
        </is>
      </c>
      <c r="C11" s="22" t="n">
        <v>16</v>
      </c>
      <c r="D11" s="22" t="n">
        <v>8</v>
      </c>
      <c r="E11" s="22" t="n">
        <v>8</v>
      </c>
      <c r="F11" s="22" t="n">
        <v>0</v>
      </c>
      <c r="G11" s="22" t="n">
        <v>8</v>
      </c>
      <c r="H11" s="23">
        <f>G11/D11</f>
        <v>1.0</v>
      </c>
      <c r="I11" s="22" t="n">
        <v>0</v>
      </c>
      <c r="J11" s="22" t="n">
        <v>0</v>
      </c>
      <c r="K11" s="22">
        <f>I11+J11</f>
        <v>0</v>
      </c>
      <c r="L11" s="24" t="n">
        <v>0.125</v>
      </c>
    </row>
    <row r="12">
      <c r="A12" s="17" t="inlineStr">
        <is>
          <t>W2 Delegation, referral</t>
        </is>
      </c>
      <c r="B12" s="28" t="inlineStr">
        <is>
          <t>Luna, direct</t>
        </is>
      </c>
      <c r="C12" s="18" t="n">
        <v>16</v>
      </c>
      <c r="D12" s="18" t="n">
        <v>8</v>
      </c>
      <c r="E12" s="18" t="n">
        <v>8</v>
      </c>
      <c r="F12" s="18" t="n">
        <v>0</v>
      </c>
      <c r="G12" s="18" t="n">
        <v>8</v>
      </c>
      <c r="H12" s="19">
        <f>G12/D12</f>
        <v>1.0</v>
      </c>
      <c r="I12" s="18" t="n">
        <v>0</v>
      </c>
      <c r="J12" s="18" t="n">
        <v>0</v>
      </c>
      <c r="K12" s="18">
        <f>I12+J12</f>
        <v>0</v>
      </c>
      <c r="L12" s="20" t="n">
        <v>0.125</v>
      </c>
    </row>
    <row r="13">
      <c r="A13" s="21" t="inlineStr">
        <is>
          <t>W2 Delegation, referral</t>
        </is>
      </c>
      <c r="B13" s="29" t="inlineStr">
        <is>
          <t>Luna, checked</t>
        </is>
      </c>
      <c r="C13" s="22" t="n">
        <v>16</v>
      </c>
      <c r="D13" s="22" t="n">
        <v>8</v>
      </c>
      <c r="E13" s="22" t="n">
        <v>8</v>
      </c>
      <c r="F13" s="22" t="n">
        <v>0</v>
      </c>
      <c r="G13" s="22" t="n">
        <v>5</v>
      </c>
      <c r="H13" s="23">
        <f>G13/D13</f>
        <v>0.625</v>
      </c>
      <c r="I13" s="22" t="n">
        <v>2</v>
      </c>
      <c r="J13" s="22" t="n">
        <v>1</v>
      </c>
      <c r="K13" s="22">
        <f>I13+J13</f>
        <v>3</v>
      </c>
      <c r="L13" s="24" t="n">
        <v>0.06093750000000142</v>
      </c>
    </row>
    <row r="14">
      <c r="A14" s="17" t="inlineStr">
        <is>
          <t>W3 Calculation, configuration</t>
        </is>
      </c>
      <c r="B14" s="28" t="inlineStr">
        <is>
          <t>Astra, direct</t>
        </is>
      </c>
      <c r="C14" s="18" t="n">
        <v>16</v>
      </c>
      <c r="D14" s="18" t="n">
        <v>10</v>
      </c>
      <c r="E14" s="18" t="n">
        <v>10</v>
      </c>
      <c r="F14" s="18" t="n">
        <v>0</v>
      </c>
      <c r="G14" s="18" t="n">
        <v>10</v>
      </c>
      <c r="H14" s="19">
        <f>G14/D14</f>
        <v>1.0</v>
      </c>
      <c r="I14" s="18" t="n">
        <v>0</v>
      </c>
      <c r="J14" s="18" t="n">
        <v>0</v>
      </c>
      <c r="K14" s="18">
        <f>I14+J14</f>
        <v>0</v>
      </c>
      <c r="L14" s="20" t="n">
        <v>0.25</v>
      </c>
    </row>
    <row r="15">
      <c r="A15" s="21" t="inlineStr">
        <is>
          <t>W3 Calculation, configuration</t>
        </is>
      </c>
      <c r="B15" s="29" t="inlineStr">
        <is>
          <t>Astra, checked</t>
        </is>
      </c>
      <c r="C15" s="22" t="n">
        <v>16</v>
      </c>
      <c r="D15" s="22" t="n">
        <v>10</v>
      </c>
      <c r="E15" s="22" t="n">
        <v>10</v>
      </c>
      <c r="F15" s="22" t="n">
        <v>0</v>
      </c>
      <c r="G15" s="22" t="n">
        <v>7</v>
      </c>
      <c r="H15" s="23">
        <f>G15/D15</f>
        <v>0.7</v>
      </c>
      <c r="I15" s="22" t="n">
        <v>3</v>
      </c>
      <c r="J15" s="22" t="n">
        <v>0</v>
      </c>
      <c r="K15" s="22">
        <f>I15+J15</f>
        <v>3</v>
      </c>
      <c r="L15" s="24" t="n">
        <v>0.125</v>
      </c>
    </row>
    <row r="16">
      <c r="A16" s="17" t="inlineStr">
        <is>
          <t>W3 Calculation, configuration</t>
        </is>
      </c>
      <c r="B16" s="28" t="inlineStr">
        <is>
          <t>Luna, direct</t>
        </is>
      </c>
      <c r="C16" s="18" t="n">
        <v>16</v>
      </c>
      <c r="D16" s="18" t="n">
        <v>10</v>
      </c>
      <c r="E16" s="18" t="n">
        <v>10</v>
      </c>
      <c r="F16" s="18" t="n">
        <v>0</v>
      </c>
      <c r="G16" s="18" t="n">
        <v>10</v>
      </c>
      <c r="H16" s="19">
        <f>G16/D16</f>
        <v>1.0</v>
      </c>
      <c r="I16" s="18" t="n">
        <v>0</v>
      </c>
      <c r="J16" s="18" t="n">
        <v>0</v>
      </c>
      <c r="K16" s="18">
        <f>I16+J16</f>
        <v>0</v>
      </c>
      <c r="L16" s="20" t="n">
        <v>0.25</v>
      </c>
    </row>
    <row r="17">
      <c r="A17" s="21" t="inlineStr">
        <is>
          <t>W3 Calculation, configuration</t>
        </is>
      </c>
      <c r="B17" s="29" t="inlineStr">
        <is>
          <t>Luna, checked</t>
        </is>
      </c>
      <c r="C17" s="22" t="n">
        <v>16</v>
      </c>
      <c r="D17" s="22" t="n">
        <v>10</v>
      </c>
      <c r="E17" s="22" t="n">
        <v>10</v>
      </c>
      <c r="F17" s="22" t="n">
        <v>0</v>
      </c>
      <c r="G17" s="22" t="n">
        <v>6</v>
      </c>
      <c r="H17" s="23">
        <f>G17/D17</f>
        <v>0.6</v>
      </c>
      <c r="I17" s="22" t="n">
        <v>3</v>
      </c>
      <c r="J17" s="22" t="n">
        <v>1</v>
      </c>
      <c r="K17" s="22">
        <f>I17+J17</f>
        <v>4</v>
      </c>
      <c r="L17" s="24" t="n">
        <v>0.125</v>
      </c>
    </row>
    <row r="18">
      <c r="A18" s="13" t="inlineStr">
        <is>
          <t>Intervals at 8 cases per workflow are very wide (e.g. 12.5% to 87.5% for 8/16); treat workflow differences as descriptive.</t>
        </is>
      </c>
    </row>
    <row r="20">
      <c r="A20" s="5" t="inlineStr">
        <is>
          <t>Chart data: useful releases of 8 scored answers</t>
        </is>
      </c>
    </row>
    <row r="21">
      <c r="A21" s="27" t="inlineStr">
        <is>
          <t>Workflow</t>
        </is>
      </c>
      <c r="B21" s="27" t="inlineStr">
        <is>
          <t>Astra, direct</t>
        </is>
      </c>
      <c r="C21" s="27" t="inlineStr">
        <is>
          <t>Astra, checked</t>
        </is>
      </c>
      <c r="D21" s="27" t="inlineStr">
        <is>
          <t>Luna, direct</t>
        </is>
      </c>
      <c r="E21" s="27" t="inlineStr">
        <is>
          <t>Luna, checked</t>
        </is>
      </c>
    </row>
    <row r="22">
      <c r="A22" s="27" t="inlineStr">
        <is>
          <t>W1</t>
        </is>
      </c>
      <c r="B22" s="27" t="n">
        <v>12</v>
      </c>
      <c r="C22" s="27" t="n">
        <v>8</v>
      </c>
      <c r="D22" s="27" t="n">
        <v>12</v>
      </c>
      <c r="E22" s="27" t="n">
        <v>10</v>
      </c>
    </row>
    <row r="23">
      <c r="A23" s="27" t="inlineStr">
        <is>
          <t>W2</t>
        </is>
      </c>
      <c r="B23" s="27" t="n">
        <v>8</v>
      </c>
      <c r="C23" s="27" t="n">
        <v>8</v>
      </c>
      <c r="D23" s="27" t="n">
        <v>8</v>
      </c>
      <c r="E23" s="27" t="n">
        <v>5</v>
      </c>
    </row>
    <row r="24">
      <c r="A24" s="27" t="inlineStr">
        <is>
          <t>W3</t>
        </is>
      </c>
      <c r="B24" s="27" t="n">
        <v>10</v>
      </c>
      <c r="C24" s="27" t="n">
        <v>7</v>
      </c>
      <c r="D24" s="27" t="n">
        <v>10</v>
      </c>
      <c r="E24" s="27" t="n">
        <v>6</v>
      </c>
    </row>
    <row r="44">
      <c r="A44" s="14" t="inlineStr">
        <is>
          <t>Source: supplement_results.json S5_workflow (useful_release; 8 human-scored answers per workflow and condition).</t>
        </is>
      </c>
    </row>
  </sheetData>
  <pageMargins left="0.75" right="0.75" top="1" bottom="1" header="0.5" footer="0.5"/>
  <pageSetup orientation="landscape" paperSize="9" fitToHeight="0" fitToWidth="1"/>
  <drawing xmlns:r="http://schemas.openxmlformats.org/officeDocument/2006/relationships" r:id="rId1"/>
</worksheet>
</file>

<file path=xl/worksheets/sheet5.xml><?xml version="1.0" encoding="utf-8"?>
<worksheet xmlns="http://schemas.openxmlformats.org/spreadsheetml/2006/main">
  <sheetPr>
    <tabColor rgb="00D5DAE1"/>
    <outlinePr summaryBelow="1" summaryRight="1"/>
    <pageSetUpPr fitToPage="1"/>
  </sheetPr>
  <dimension ref="A1:H56"/>
  <sheetViews>
    <sheetView showGridLines="0" workbookViewId="0">
      <pane ySplit="3" topLeftCell="A4" activePane="bottomLeft" state="frozen"/>
      <selection pane="bottomLeft" activeCell="A1" sqref="A1"/>
    </sheetView>
  </sheetViews>
  <sheetFormatPr baseColWidth="8" defaultRowHeight="15"/>
  <cols>
    <col width="44" customWidth="1" min="1" max="1"/>
    <col width="16" customWidth="1" min="2" max="2"/>
    <col width="12" customWidth="1" min="3" max="3"/>
    <col width="12" customWidth="1" min="4" max="4"/>
    <col width="12" customWidth="1" min="5" max="5"/>
    <col width="14" customWidth="1" min="6" max="6"/>
    <col width="14" customWidth="1" min="7" max="7"/>
    <col width="30" customWidth="1" min="8" max="8"/>
    <col width="12" customWidth="1" min="9" max="9"/>
  </cols>
  <sheetData>
    <row r="1" ht="24" customHeight="1">
      <c r="A1" s="1" t="inlineStr">
        <is>
          <t>What the four software checks did</t>
        </is>
      </c>
    </row>
    <row r="2">
      <c r="A2" s="2" t="inlineStr">
        <is>
          <t>Checked route, all 96 primary answers. Format, quotation, arithmetic (5 cases) and routing of declared grade/approval/penalty actions.</t>
        </is>
      </c>
    </row>
    <row r="4">
      <c r="A4" s="5" t="inlineStr">
        <is>
          <t>Table 1. Check status across all 96 answers (checked route)</t>
        </is>
      </c>
    </row>
    <row r="5" ht="30" customHeight="1">
      <c r="A5" s="15" t="inlineStr">
        <is>
          <t>Check</t>
        </is>
      </c>
      <c r="B5" s="16" t="inlineStr">
        <is>
          <t>What it tests</t>
        </is>
      </c>
      <c r="C5" s="16" t="inlineStr">
        <is>
          <t>Pass</t>
        </is>
      </c>
      <c r="D5" s="16" t="inlineStr">
        <is>
          <t>Fail (blocks)</t>
        </is>
      </c>
      <c r="E5" s="16" t="inlineStr">
        <is>
          <t>Triggered (routes)</t>
        </is>
      </c>
      <c r="F5" s="16" t="inlineStr">
        <is>
          <t>Not triggered</t>
        </is>
      </c>
      <c r="G5" s="16" t="inlineStr">
        <is>
          <t>Not applicable</t>
        </is>
      </c>
      <c r="H5" s="16" t="inlineStr">
        <is>
          <t>Check results</t>
        </is>
      </c>
    </row>
    <row r="6">
      <c r="A6" s="17" t="inlineStr">
        <is>
          <t>Format check</t>
        </is>
      </c>
      <c r="B6" s="30" t="inlineStr">
        <is>
          <t>Output parses and has the required fields</t>
        </is>
      </c>
      <c r="C6" s="18" t="n">
        <v>96</v>
      </c>
      <c r="D6" s="18" t="n">
        <v>0</v>
      </c>
      <c r="E6" s="18" t="n">
        <v>0</v>
      </c>
      <c r="F6" s="18" t="n">
        <v>0</v>
      </c>
      <c r="G6" s="18" t="n">
        <v>0</v>
      </c>
      <c r="H6" s="18">
        <f>SUM(C6:G6)</f>
        <v>96</v>
      </c>
    </row>
    <row r="7">
      <c r="A7" s="21" t="inlineStr">
        <is>
          <t>Quotation check</t>
        </is>
      </c>
      <c r="B7" s="31" t="inlineStr">
        <is>
          <t>Every quotation appears word for word in the supplied excerpt</t>
        </is>
      </c>
      <c r="C7" s="22" t="n">
        <v>93</v>
      </c>
      <c r="D7" s="22" t="n">
        <v>3</v>
      </c>
      <c r="E7" s="22" t="n">
        <v>0</v>
      </c>
      <c r="F7" s="22" t="n">
        <v>0</v>
      </c>
      <c r="G7" s="22" t="n">
        <v>0</v>
      </c>
      <c r="H7" s="22">
        <f>SUM(C7:G7)</f>
        <v>96</v>
      </c>
    </row>
    <row r="8">
      <c r="A8" s="17" t="inlineStr">
        <is>
          <t>Arithmetic check</t>
        </is>
      </c>
      <c r="B8" s="30" t="inlineStr">
        <is>
          <t>Reported number matches recomputation (value and allowed unit)</t>
        </is>
      </c>
      <c r="C8" s="18" t="n">
        <v>28</v>
      </c>
      <c r="D8" s="18" t="n">
        <v>4</v>
      </c>
      <c r="E8" s="18" t="n">
        <v>0</v>
      </c>
      <c r="F8" s="18" t="n">
        <v>0</v>
      </c>
      <c r="G8" s="18" t="n">
        <v>0</v>
      </c>
      <c r="H8" s="18">
        <f>SUM(C8:G8)</f>
        <v>32</v>
      </c>
    </row>
    <row r="9">
      <c r="A9" s="21" t="inlineStr">
        <is>
          <t>Routing check</t>
        </is>
      </c>
      <c r="B9" s="31" t="inlineStr">
        <is>
          <t>Declared grade, approval or penalty goes to a person</t>
        </is>
      </c>
      <c r="C9" s="22" t="n">
        <v>0</v>
      </c>
      <c r="D9" s="22" t="n">
        <v>0</v>
      </c>
      <c r="E9" s="22" t="n">
        <v>11</v>
      </c>
      <c r="F9" s="22" t="n">
        <v>85</v>
      </c>
      <c r="G9" s="22" t="n">
        <v>0</v>
      </c>
      <c r="H9" s="22">
        <f>SUM(C9:G9)</f>
        <v>96</v>
      </c>
    </row>
    <row r="10">
      <c r="A10" s="13" t="inlineStr">
        <is>
          <t>Arithmetic results are per quantity: 32 quantity checks on 20 answers in 5 cases (W2-07, W3-01, W3-02, W3-04, W3-08). Source: locked_score_gate_join.json traces; matches supplement S11.</t>
        </is>
      </c>
    </row>
    <row r="12">
      <c r="A12" s="5" t="inlineStr">
        <is>
          <t>Table 2. Withheld answers by first cause and human outcome</t>
        </is>
      </c>
    </row>
    <row r="13" ht="30" customHeight="1">
      <c r="A13" s="15" t="inlineStr">
        <is>
          <t>Cause (first failing check, else routing)</t>
        </is>
      </c>
      <c r="B13" s="16" t="inlineStr">
        <is>
          <t>Scored acceptable (unnecessary withholding)</t>
        </is>
      </c>
      <c r="C13" s="16" t="inlineStr">
        <is>
          <t>Scored serious (caught)</t>
        </is>
      </c>
      <c r="D13" s="16" t="inlineStr">
        <is>
          <t>Scored other unacceptable</t>
        </is>
      </c>
      <c r="E13" s="16" t="inlineStr">
        <is>
          <t>Unscored</t>
        </is>
      </c>
      <c r="F13" s="16" t="inlineStr">
        <is>
          <t>Total withheld</t>
        </is>
      </c>
    </row>
    <row r="14">
      <c r="A14" s="32" t="inlineStr">
        <is>
          <t>Routing: declared grade, approval or penalty</t>
        </is>
      </c>
      <c r="B14" s="18" t="n">
        <v>11</v>
      </c>
      <c r="C14" s="18" t="n">
        <v>0</v>
      </c>
      <c r="D14" s="18" t="n">
        <v>0</v>
      </c>
      <c r="E14" s="18" t="n">
        <v>0</v>
      </c>
      <c r="F14" s="18">
        <f>SUM(B14:E14)</f>
        <v>11</v>
      </c>
    </row>
    <row r="15">
      <c r="A15" s="21" t="inlineStr">
        <is>
          <t>Quotation check</t>
        </is>
      </c>
      <c r="B15" s="22" t="n">
        <v>3</v>
      </c>
      <c r="C15" s="22" t="n">
        <v>0</v>
      </c>
      <c r="D15" s="22" t="n">
        <v>0</v>
      </c>
      <c r="E15" s="22" t="n">
        <v>0</v>
      </c>
      <c r="F15" s="22">
        <f>SUM(B15:E15)</f>
        <v>3</v>
      </c>
    </row>
    <row r="16">
      <c r="A16" s="17" t="inlineStr">
        <is>
          <t>Arithmetic check</t>
        </is>
      </c>
      <c r="B16" s="18" t="n">
        <v>2</v>
      </c>
      <c r="C16" s="18" t="n">
        <v>0</v>
      </c>
      <c r="D16" s="18" t="n">
        <v>0</v>
      </c>
      <c r="E16" s="18" t="n">
        <v>0</v>
      </c>
      <c r="F16" s="18">
        <f>SUM(B16:E16)</f>
        <v>2</v>
      </c>
    </row>
    <row r="17">
      <c r="A17" s="21" t="inlineStr">
        <is>
          <t>Total</t>
        </is>
      </c>
      <c r="B17" s="22">
        <f>SUM(B14:B16)</f>
        <v>16</v>
      </c>
      <c r="C17" s="22">
        <f>SUM(C14:C16)</f>
        <v>0</v>
      </c>
      <c r="D17" s="22">
        <f>SUM(D14:D16)</f>
        <v>0</v>
      </c>
      <c r="E17" s="22">
        <f>SUM(E14:E16)</f>
        <v>0</v>
      </c>
      <c r="F17" s="22">
        <f>SUM(F14:F16)</f>
        <v>16</v>
      </c>
    </row>
    <row r="18">
      <c r="A18" s="13" t="inlineStr">
        <is>
          <t>No withheld scored answer was serious: every scored answer the checks withheld was acceptable. Source: locked_score_gate_join.json; supplement S4 and S11.</t>
        </is>
      </c>
    </row>
    <row r="20">
      <c r="A20" s="5" t="inlineStr">
        <is>
          <t>Table 3. Which checks withheld which answers (case level; counts of answers)</t>
        </is>
      </c>
    </row>
    <row r="21" ht="30" customHeight="1">
      <c r="A21" s="15" t="inlineStr">
        <is>
          <t>Cause</t>
        </is>
      </c>
      <c r="B21" s="16" t="inlineStr">
        <is>
          <t>Case</t>
        </is>
      </c>
      <c r="C21" s="16" t="inlineStr">
        <is>
          <t>Model</t>
        </is>
      </c>
      <c r="D21" s="16" t="inlineStr">
        <is>
          <t>Decision</t>
        </is>
      </c>
      <c r="E21" s="16" t="inlineStr">
        <is>
          <t>Human outcome</t>
        </is>
      </c>
      <c r="F21" s="16" t="inlineStr">
        <is>
          <t>Answers</t>
        </is>
      </c>
      <c r="G21" s="16" t="inlineStr">
        <is>
          <t>Detail</t>
        </is>
      </c>
    </row>
    <row r="22">
      <c r="A22" s="30" t="inlineStr">
        <is>
          <t>Routing: declared grade, approval or penalty</t>
        </is>
      </c>
      <c r="B22" s="28" t="inlineStr">
        <is>
          <t>W1-07</t>
        </is>
      </c>
      <c r="C22" s="28" t="inlineStr">
        <is>
          <t>Astra</t>
        </is>
      </c>
      <c r="D22" s="28" t="inlineStr">
        <is>
          <t>Routed</t>
        </is>
      </c>
      <c r="E22" s="28" t="inlineStr">
        <is>
          <t>Acceptable</t>
        </is>
      </c>
      <c r="F22" s="18" t="n">
        <v>2</v>
      </c>
      <c r="G22" s="28" t="inlineStr">
        <is>
          <t>Answer declared a consequential action</t>
        </is>
      </c>
    </row>
    <row r="23">
      <c r="A23" s="31" t="inlineStr">
        <is>
          <t>Routing: declared grade, approval or penalty</t>
        </is>
      </c>
      <c r="B23" s="29" t="inlineStr">
        <is>
          <t>W1-07</t>
        </is>
      </c>
      <c r="C23" s="29" t="inlineStr">
        <is>
          <t>Luna</t>
        </is>
      </c>
      <c r="D23" s="29" t="inlineStr">
        <is>
          <t>Routed</t>
        </is>
      </c>
      <c r="E23" s="29" t="inlineStr">
        <is>
          <t>Acceptable</t>
        </is>
      </c>
      <c r="F23" s="22" t="n">
        <v>1</v>
      </c>
      <c r="G23" s="29" t="inlineStr">
        <is>
          <t>Answer declared a consequential action</t>
        </is>
      </c>
    </row>
    <row r="24">
      <c r="A24" s="30" t="inlineStr">
        <is>
          <t>Routing: declared grade, approval or penalty</t>
        </is>
      </c>
      <c r="B24" s="28" t="inlineStr">
        <is>
          <t>W2-08</t>
        </is>
      </c>
      <c r="C24" s="28" t="inlineStr">
        <is>
          <t>Luna</t>
        </is>
      </c>
      <c r="D24" s="28" t="inlineStr">
        <is>
          <t>Routed</t>
        </is>
      </c>
      <c r="E24" s="28" t="inlineStr">
        <is>
          <t>Acceptable</t>
        </is>
      </c>
      <c r="F24" s="18" t="n">
        <v>2</v>
      </c>
      <c r="G24" s="28" t="inlineStr">
        <is>
          <t>Answer declared a consequential action</t>
        </is>
      </c>
    </row>
    <row r="25">
      <c r="A25" s="31" t="inlineStr">
        <is>
          <t>Routing: declared grade, approval or penalty</t>
        </is>
      </c>
      <c r="B25" s="29" t="inlineStr">
        <is>
          <t>W3-02</t>
        </is>
      </c>
      <c r="C25" s="29" t="inlineStr">
        <is>
          <t>Luna</t>
        </is>
      </c>
      <c r="D25" s="29" t="inlineStr">
        <is>
          <t>Routed</t>
        </is>
      </c>
      <c r="E25" s="29" t="inlineStr">
        <is>
          <t>Acceptable</t>
        </is>
      </c>
      <c r="F25" s="22" t="n">
        <v>1</v>
      </c>
      <c r="G25" s="29" t="inlineStr">
        <is>
          <t>Answer declared a consequential action</t>
        </is>
      </c>
    </row>
    <row r="26">
      <c r="A26" s="30" t="inlineStr">
        <is>
          <t>Routing: declared grade, approval or penalty</t>
        </is>
      </c>
      <c r="B26" s="28" t="inlineStr">
        <is>
          <t>W3-04</t>
        </is>
      </c>
      <c r="C26" s="28" t="inlineStr">
        <is>
          <t>Astra</t>
        </is>
      </c>
      <c r="D26" s="28" t="inlineStr">
        <is>
          <t>Routed</t>
        </is>
      </c>
      <c r="E26" s="28" t="inlineStr">
        <is>
          <t>Acceptable</t>
        </is>
      </c>
      <c r="F26" s="18" t="n">
        <v>1</v>
      </c>
      <c r="G26" s="28" t="inlineStr">
        <is>
          <t>Answer declared a consequential action</t>
        </is>
      </c>
    </row>
    <row r="27">
      <c r="A27" s="31" t="inlineStr">
        <is>
          <t>Routing: declared grade, approval or penalty</t>
        </is>
      </c>
      <c r="B27" s="29" t="inlineStr">
        <is>
          <t>W3-07</t>
        </is>
      </c>
      <c r="C27" s="29" t="inlineStr">
        <is>
          <t>Astra</t>
        </is>
      </c>
      <c r="D27" s="29" t="inlineStr">
        <is>
          <t>Routed</t>
        </is>
      </c>
      <c r="E27" s="29" t="inlineStr">
        <is>
          <t>Acceptable</t>
        </is>
      </c>
      <c r="F27" s="22" t="n">
        <v>2</v>
      </c>
      <c r="G27" s="29" t="inlineStr">
        <is>
          <t>Answer declared a consequential action</t>
        </is>
      </c>
    </row>
    <row r="28">
      <c r="A28" s="30" t="inlineStr">
        <is>
          <t>Routing: declared grade, approval or penalty</t>
        </is>
      </c>
      <c r="B28" s="28" t="inlineStr">
        <is>
          <t>W3-07</t>
        </is>
      </c>
      <c r="C28" s="28" t="inlineStr">
        <is>
          <t>Luna</t>
        </is>
      </c>
      <c r="D28" s="28" t="inlineStr">
        <is>
          <t>Routed</t>
        </is>
      </c>
      <c r="E28" s="28" t="inlineStr">
        <is>
          <t>Acceptable</t>
        </is>
      </c>
      <c r="F28" s="18" t="n">
        <v>2</v>
      </c>
      <c r="G28" s="28" t="inlineStr">
        <is>
          <t>Answer declared a consequential action</t>
        </is>
      </c>
    </row>
    <row r="29">
      <c r="A29" s="29" t="inlineStr">
        <is>
          <t>Quotation check</t>
        </is>
      </c>
      <c r="B29" s="29" t="inlineStr">
        <is>
          <t>W1-01</t>
        </is>
      </c>
      <c r="C29" s="29" t="inlineStr">
        <is>
          <t>Astra</t>
        </is>
      </c>
      <c r="D29" s="29" t="inlineStr">
        <is>
          <t>Blocked</t>
        </is>
      </c>
      <c r="E29" s="29" t="inlineStr">
        <is>
          <t>Acceptable</t>
        </is>
      </c>
      <c r="F29" s="22" t="n">
        <v>2</v>
      </c>
      <c r="G29" s="31" t="inlineStr">
        <is>
          <t>A quotation was not found word for word in the excerpt</t>
        </is>
      </c>
    </row>
    <row r="30">
      <c r="A30" s="28" t="inlineStr">
        <is>
          <t>Quotation check</t>
        </is>
      </c>
      <c r="B30" s="28" t="inlineStr">
        <is>
          <t>W1-01</t>
        </is>
      </c>
      <c r="C30" s="28" t="inlineStr">
        <is>
          <t>Luna</t>
        </is>
      </c>
      <c r="D30" s="28" t="inlineStr">
        <is>
          <t>Blocked</t>
        </is>
      </c>
      <c r="E30" s="28" t="inlineStr">
        <is>
          <t>Acceptable</t>
        </is>
      </c>
      <c r="F30" s="18" t="n">
        <v>1</v>
      </c>
      <c r="G30" s="30" t="inlineStr">
        <is>
          <t>A quotation was not found word for word in the excerpt</t>
        </is>
      </c>
    </row>
    <row r="31">
      <c r="A31" s="29" t="inlineStr">
        <is>
          <t>Arithmetic check</t>
        </is>
      </c>
      <c r="B31" s="29" t="inlineStr">
        <is>
          <t>W2-07</t>
        </is>
      </c>
      <c r="C31" s="29" t="inlineStr">
        <is>
          <t>Luna</t>
        </is>
      </c>
      <c r="D31" s="29" t="inlineStr">
        <is>
          <t>Blocked</t>
        </is>
      </c>
      <c r="E31" s="29" t="inlineStr">
        <is>
          <t>Acceptable</t>
        </is>
      </c>
      <c r="F31" s="22" t="n">
        <v>1</v>
      </c>
      <c r="G31" s="31" t="inlineStr">
        <is>
          <t>Value correct; unit label not on allow list (class hours, class hours at 20% of 54, percent of prescribed class hours)</t>
        </is>
      </c>
    </row>
    <row r="32">
      <c r="A32" s="28" t="inlineStr">
        <is>
          <t>Arithmetic check</t>
        </is>
      </c>
      <c r="B32" s="28" t="inlineStr">
        <is>
          <t>W3-04</t>
        </is>
      </c>
      <c r="C32" s="28" t="inlineStr">
        <is>
          <t>Luna</t>
        </is>
      </c>
      <c r="D32" s="28" t="inlineStr">
        <is>
          <t>Blocked</t>
        </is>
      </c>
      <c r="E32" s="28" t="inlineStr">
        <is>
          <t>Acceptable</t>
        </is>
      </c>
      <c r="F32" s="18" t="n">
        <v>1</v>
      </c>
      <c r="G32" s="30" t="inlineStr">
        <is>
          <t>Value correct; unit label not on allow list (course-grade points)</t>
        </is>
      </c>
    </row>
    <row r="33">
      <c r="A33" s="13" t="inlineStr">
        <is>
          <t>Case IDs only; repetitions are aggregated. Both arithmetic blocks were correct values rejected for unit wording, i.e. unnecessary withholding.</t>
        </is>
      </c>
    </row>
    <row r="35">
      <c r="A35" s="5" t="inlineStr">
        <is>
          <t>Chart data</t>
        </is>
      </c>
    </row>
    <row r="36">
      <c r="A36" s="27" t="inlineStr">
        <is>
          <t>Cause</t>
        </is>
      </c>
      <c r="B36" s="27" t="inlineStr">
        <is>
          <t>Scored acceptable</t>
        </is>
      </c>
      <c r="C36" s="27" t="inlineStr">
        <is>
          <t>Scored serious</t>
        </is>
      </c>
      <c r="D36" s="27" t="inlineStr">
        <is>
          <t>Unscored</t>
        </is>
      </c>
    </row>
    <row r="37">
      <c r="A37" s="27" t="inlineStr">
        <is>
          <t>Routing: declared grade, approval or penalty</t>
        </is>
      </c>
      <c r="B37" s="27" t="n">
        <v>11</v>
      </c>
      <c r="C37" s="27" t="n">
        <v>0</v>
      </c>
      <c r="D37" s="27" t="n">
        <v>0</v>
      </c>
    </row>
    <row r="38">
      <c r="A38" s="27" t="inlineStr">
        <is>
          <t>Quotation check</t>
        </is>
      </c>
      <c r="B38" s="27" t="n">
        <v>3</v>
      </c>
      <c r="C38" s="27" t="n">
        <v>0</v>
      </c>
      <c r="D38" s="27" t="n">
        <v>0</v>
      </c>
    </row>
    <row r="39">
      <c r="A39" s="27" t="inlineStr">
        <is>
          <t>Arithmetic check</t>
        </is>
      </c>
      <c r="B39" s="27" t="n">
        <v>2</v>
      </c>
      <c r="C39" s="27" t="n">
        <v>0</v>
      </c>
      <c r="D39" s="27" t="n">
        <v>0</v>
      </c>
    </row>
    <row r="56">
      <c r="A56" s="14" t="inlineStr">
        <is>
          <t>Source: locked_score_gate_join.json (checked route decisions and traces joined to locked human scores).</t>
        </is>
      </c>
    </row>
  </sheetData>
  <pageMargins left="0.75" right="0.75" top="1" bottom="1" header="0.5" footer="0.5"/>
  <pageSetup orientation="landscape" paperSize="9" fitToHeight="0" fitToWidth="1"/>
  <drawing xmlns:r="http://schemas.openxmlformats.org/officeDocument/2006/relationships" r:id="rId1"/>
</worksheet>
</file>

<file path=xl/worksheets/sheet6.xml><?xml version="1.0" encoding="utf-8"?>
<worksheet xmlns="http://schemas.openxmlformats.org/spreadsheetml/2006/main">
  <sheetPr>
    <tabColor rgb="00D5DAE1"/>
    <outlinePr summaryBelow="1" summaryRight="1"/>
    <pageSetUpPr fitToPage="1"/>
  </sheetPr>
  <dimension ref="A1:I49"/>
  <sheetViews>
    <sheetView showGridLines="0" workbookViewId="0">
      <pane ySplit="3" topLeftCell="A4" activePane="bottomLeft" state="frozen"/>
      <selection pane="bottomLeft" activeCell="A1" sqref="A1"/>
    </sheetView>
  </sheetViews>
  <sheetFormatPr baseColWidth="8" defaultRowHeight="15"/>
  <cols>
    <col width="52" customWidth="1" min="1" max="1"/>
    <col width="12" customWidth="1" min="2" max="2"/>
    <col width="12" customWidth="1" min="3" max="3"/>
    <col width="12" customWidth="1" min="4" max="4"/>
    <col width="14" customWidth="1" min="5" max="5"/>
    <col width="14" customWidth="1" min="6" max="6"/>
    <col width="14" customWidth="1" min="7" max="7"/>
    <col width="18" customWidth="1" min="8" max="8"/>
    <col width="14" customWidth="1" min="9" max="9"/>
    <col width="14" customWidth="1" min="10" max="10"/>
  </cols>
  <sheetData>
    <row r="1" ht="24" customHeight="1">
      <c r="A1" s="1" t="inlineStr">
        <is>
          <t>Frozen sensitivity analyses and bounds</t>
        </is>
      </c>
    </row>
    <row r="2">
      <c r="A2" s="2" t="inlineStr">
        <is>
          <t>Useful releases per condition under each pre-specified variation. 'Direction' tests: checks never exceed direct on useful releases, and no serious answer is released.</t>
        </is>
      </c>
    </row>
    <row r="4">
      <c r="A4" s="5" t="inlineStr">
        <is>
          <t>Table 1. Frozen sensitivities (useful releases; denominator = scheduled answers per condition)</t>
        </is>
      </c>
    </row>
    <row r="5" ht="30" customHeight="1">
      <c r="A5" s="15" t="inlineStr">
        <is>
          <t>Analysis</t>
        </is>
      </c>
      <c r="B5" s="16" t="inlineStr">
        <is>
          <t>Answers per condition</t>
        </is>
      </c>
      <c r="C5" s="16" t="inlineStr">
        <is>
          <t>Astra direct</t>
        </is>
      </c>
      <c r="D5" s="16" t="inlineStr">
        <is>
          <t>Astra checked</t>
        </is>
      </c>
      <c r="E5" s="16" t="inlineStr">
        <is>
          <t>Luna direct</t>
        </is>
      </c>
      <c r="F5" s="16" t="inlineStr">
        <is>
          <t>Luna checked</t>
        </is>
      </c>
      <c r="G5" s="16" t="inlineStr">
        <is>
          <t>Serious released (all 4)</t>
        </is>
      </c>
      <c r="H5" s="16" t="inlineStr">
        <is>
          <t>Direction vs primary</t>
        </is>
      </c>
    </row>
    <row r="6">
      <c r="A6" s="17" t="inlineStr">
        <is>
          <t>Primary analysis (as frozen)</t>
        </is>
      </c>
      <c r="B6" s="18" t="n">
        <v>48</v>
      </c>
      <c r="C6" s="18" t="n">
        <v>30</v>
      </c>
      <c r="D6" s="18" t="n">
        <v>23</v>
      </c>
      <c r="E6" s="18" t="n">
        <v>30</v>
      </c>
      <c r="F6" s="18" t="n">
        <v>21</v>
      </c>
      <c r="G6" s="18" t="n">
        <v>0</v>
      </c>
      <c r="H6" s="33" t="str">
        <f>IF(AND(D6&lt;=C6,F6&lt;=E6,G6=0),"Unchanged","Check")</f>
        <v>Unchanged</v>
      </c>
    </row>
    <row r="7">
      <c r="A7" s="21" t="inlineStr">
        <is>
          <t>Repetition 1 only</t>
        </is>
      </c>
      <c r="B7" s="22" t="n">
        <v>24</v>
      </c>
      <c r="C7" s="22" t="n">
        <v>12</v>
      </c>
      <c r="D7" s="22" t="n">
        <v>12</v>
      </c>
      <c r="E7" s="22" t="n">
        <v>12</v>
      </c>
      <c r="F7" s="22" t="n">
        <v>10</v>
      </c>
      <c r="G7" s="22" t="n">
        <v>0</v>
      </c>
      <c r="H7" s="34" t="str">
        <f>IF(AND(D7&lt;=C7,F7&lt;=E7,G7=0),"Unchanged","Check")</f>
        <v>Unchanged</v>
      </c>
    </row>
    <row r="8">
      <c r="A8" s="17" t="inlineStr">
        <is>
          <t>Repetition 2 only</t>
        </is>
      </c>
      <c r="B8" s="18" t="n">
        <v>24</v>
      </c>
      <c r="C8" s="18" t="n">
        <v>12</v>
      </c>
      <c r="D8" s="18" t="n">
        <v>11</v>
      </c>
      <c r="E8" s="18" t="n">
        <v>12</v>
      </c>
      <c r="F8" s="18" t="n">
        <v>9</v>
      </c>
      <c r="G8" s="18" t="n">
        <v>0</v>
      </c>
      <c r="H8" s="33" t="str">
        <f>IF(AND(D8&lt;=C8,F8&lt;=E8,G8=0),"Unchanged","Check")</f>
        <v>Unchanged</v>
      </c>
    </row>
    <row r="9">
      <c r="A9" s="21" t="inlineStr">
        <is>
          <t>Omit interpretation-sensitive cases</t>
        </is>
      </c>
      <c r="B9" s="22" t="n">
        <v>44</v>
      </c>
      <c r="C9" s="22" t="n">
        <v>24</v>
      </c>
      <c r="D9" s="22" t="n">
        <v>23</v>
      </c>
      <c r="E9" s="22" t="n">
        <v>24</v>
      </c>
      <c r="F9" s="22" t="n">
        <v>19</v>
      </c>
      <c r="G9" s="22" t="n">
        <v>0</v>
      </c>
      <c r="H9" s="34" t="str">
        <f>IF(AND(D9&lt;=C9,F9&lt;=E9,G9=0),"Unchanged","Check")</f>
        <v>Unchanged</v>
      </c>
    </row>
    <row r="10">
      <c r="A10" s="32" t="inlineStr">
        <is>
          <t>Leave out institution: Cebu Normal University</t>
        </is>
      </c>
      <c r="B10" s="18" t="n">
        <v>44</v>
      </c>
      <c r="C10" s="18" t="n">
        <v>22</v>
      </c>
      <c r="D10" s="18" t="n">
        <v>21</v>
      </c>
      <c r="E10" s="18" t="n">
        <v>22</v>
      </c>
      <c r="F10" s="18" t="n">
        <v>17</v>
      </c>
      <c r="G10" s="18" t="n">
        <v>0</v>
      </c>
      <c r="H10" s="33" t="str">
        <f>IF(AND(D10&lt;=C10,F10&lt;=E10,G10=0),"Unchanged","Check")</f>
        <v>Unchanged</v>
      </c>
    </row>
    <row r="11">
      <c r="A11" s="35" t="inlineStr">
        <is>
          <t>Leave out institution: University of Southern Philippines Foundation</t>
        </is>
      </c>
      <c r="B11" s="22" t="n">
        <v>44</v>
      </c>
      <c r="C11" s="22" t="n">
        <v>20</v>
      </c>
      <c r="D11" s="22" t="n">
        <v>19</v>
      </c>
      <c r="E11" s="22" t="n">
        <v>20</v>
      </c>
      <c r="F11" s="22" t="n">
        <v>16</v>
      </c>
      <c r="G11" s="22" t="n">
        <v>0</v>
      </c>
      <c r="H11" s="34" t="str">
        <f>IF(AND(D11&lt;=C11,F11&lt;=E11,G11=0),"Unchanged","Check")</f>
        <v>Unchanged</v>
      </c>
    </row>
    <row r="12">
      <c r="A12" s="32" t="inlineStr">
        <is>
          <t>Leave out institution: University of the Philippines Diliman</t>
        </is>
      </c>
      <c r="B12" s="18" t="n">
        <v>42</v>
      </c>
      <c r="C12" s="18" t="n">
        <v>22</v>
      </c>
      <c r="D12" s="18" t="n">
        <v>21</v>
      </c>
      <c r="E12" s="18" t="n">
        <v>22</v>
      </c>
      <c r="F12" s="18" t="n">
        <v>17</v>
      </c>
      <c r="G12" s="18" t="n">
        <v>0</v>
      </c>
      <c r="H12" s="33" t="str">
        <f>IF(AND(D12&lt;=C12,F12&lt;=E12,G12=0),"Unchanged","Check")</f>
        <v>Unchanged</v>
      </c>
    </row>
    <row r="13">
      <c r="A13" s="35" t="inlineStr">
        <is>
          <t>Leave out institution: University of Southeastern Philippines</t>
        </is>
      </c>
      <c r="B13" s="22" t="n">
        <v>44</v>
      </c>
      <c r="C13" s="22" t="n">
        <v>22</v>
      </c>
      <c r="D13" s="22" t="n">
        <v>21</v>
      </c>
      <c r="E13" s="22" t="n">
        <v>22</v>
      </c>
      <c r="F13" s="22" t="n">
        <v>19</v>
      </c>
      <c r="G13" s="22" t="n">
        <v>0</v>
      </c>
      <c r="H13" s="34" t="str">
        <f>IF(AND(D13&lt;=C13,F13&lt;=E13,G13=0),"Unchanged","Check")</f>
        <v>Unchanged</v>
      </c>
    </row>
    <row r="14">
      <c r="A14" s="32" t="inlineStr">
        <is>
          <t>Leave out institution: Mapúa Malayan Colleges Mindanao</t>
        </is>
      </c>
      <c r="B14" s="18" t="n">
        <v>42</v>
      </c>
      <c r="C14" s="18" t="n">
        <v>22</v>
      </c>
      <c r="D14" s="18" t="n">
        <v>22</v>
      </c>
      <c r="E14" s="18" t="n">
        <v>22</v>
      </c>
      <c r="F14" s="18" t="n">
        <v>18</v>
      </c>
      <c r="G14" s="18" t="n">
        <v>0</v>
      </c>
      <c r="H14" s="33" t="str">
        <f>IF(AND(D14&lt;=C14,F14&lt;=E14,G14=0),"Unchanged","Check")</f>
        <v>Unchanged</v>
      </c>
    </row>
    <row r="15">
      <c r="A15" s="35" t="inlineStr">
        <is>
          <t>Leave out institution: Ateneo de Manila University</t>
        </is>
      </c>
      <c r="B15" s="22" t="n">
        <v>40</v>
      </c>
      <c r="C15" s="22" t="n">
        <v>18</v>
      </c>
      <c r="D15" s="22" t="n">
        <v>17</v>
      </c>
      <c r="E15" s="22" t="n">
        <v>18</v>
      </c>
      <c r="F15" s="22" t="n">
        <v>13</v>
      </c>
      <c r="G15" s="22" t="n">
        <v>0</v>
      </c>
      <c r="H15" s="34" t="str">
        <f>IF(AND(D15&lt;=C15,F15&lt;=E15,G15=0),"Unchanged","Check")</f>
        <v>Unchanged</v>
      </c>
    </row>
    <row r="16">
      <c r="A16" s="32" t="inlineStr">
        <is>
          <t>Leave out institution: St. Paul University Surigao</t>
        </is>
      </c>
      <c r="B16" s="18" t="n">
        <v>40</v>
      </c>
      <c r="C16" s="18" t="n">
        <v>22</v>
      </c>
      <c r="D16" s="18" t="n">
        <v>21</v>
      </c>
      <c r="E16" s="18" t="n">
        <v>22</v>
      </c>
      <c r="F16" s="18" t="n">
        <v>17</v>
      </c>
      <c r="G16" s="18" t="n">
        <v>0</v>
      </c>
      <c r="H16" s="33" t="str">
        <f>IF(AND(D16&lt;=C16,F16&lt;=E16,G16=0),"Unchanged","Check")</f>
        <v>Unchanged</v>
      </c>
    </row>
    <row r="17">
      <c r="A17" s="35" t="inlineStr">
        <is>
          <t>Leave out institution: De La Salle University</t>
        </is>
      </c>
      <c r="B17" s="22" t="n">
        <v>42</v>
      </c>
      <c r="C17" s="22" t="n">
        <v>22</v>
      </c>
      <c r="D17" s="22" t="n">
        <v>21</v>
      </c>
      <c r="E17" s="22" t="n">
        <v>22</v>
      </c>
      <c r="F17" s="22" t="n">
        <v>17</v>
      </c>
      <c r="G17" s="22" t="n">
        <v>0</v>
      </c>
      <c r="H17" s="34" t="str">
        <f>IF(AND(D17&lt;=C17,F17&lt;=E17,G17=0),"Unchanged","Check")</f>
        <v>Unchanged</v>
      </c>
    </row>
    <row r="18">
      <c r="A18" s="32" t="inlineStr">
        <is>
          <t>Leave out institution: Pateros Technological College</t>
        </is>
      </c>
      <c r="B18" s="18" t="n">
        <v>46</v>
      </c>
      <c r="C18" s="18" t="n">
        <v>22</v>
      </c>
      <c r="D18" s="18" t="n">
        <v>21</v>
      </c>
      <c r="E18" s="18" t="n">
        <v>22</v>
      </c>
      <c r="F18" s="18" t="n">
        <v>18</v>
      </c>
      <c r="G18" s="18" t="n">
        <v>0</v>
      </c>
      <c r="H18" s="33" t="str">
        <f>IF(AND(D18&lt;=C18,F18&lt;=E18,G18=0),"Unchanged","Check")</f>
        <v>Unchanged</v>
      </c>
    </row>
    <row r="19">
      <c r="A19" s="21" t="inlineStr">
        <is>
          <t>Serious = Critical only</t>
        </is>
      </c>
      <c r="B19" s="22" t="n">
        <v>48</v>
      </c>
      <c r="C19" s="22" t="n">
        <v>24</v>
      </c>
      <c r="D19" s="22" t="n">
        <v>23</v>
      </c>
      <c r="E19" s="22" t="n">
        <v>24</v>
      </c>
      <c r="F19" s="22" t="n">
        <v>19</v>
      </c>
      <c r="G19" s="22" t="n">
        <v>0</v>
      </c>
      <c r="H19" s="34" t="str">
        <f>IF(AND(D19&lt;=C19,F19&lt;=E19,G19=0),"Unchanged","Check")</f>
        <v>Unchanged</v>
      </c>
    </row>
    <row r="20">
      <c r="A20" s="32" t="inlineStr">
        <is>
          <t>Not-scorable criteria counted as unacceptable</t>
        </is>
      </c>
      <c r="B20" s="18" t="n">
        <v>48</v>
      </c>
      <c r="C20" s="18" t="n">
        <v>24</v>
      </c>
      <c r="D20" s="18" t="n">
        <v>23</v>
      </c>
      <c r="E20" s="18" t="n">
        <v>24</v>
      </c>
      <c r="F20" s="18" t="n">
        <v>19</v>
      </c>
      <c r="G20" s="18" t="n">
        <v>0</v>
      </c>
      <c r="H20" s="33" t="str">
        <f>IF(AND(D20&lt;=C20,F20&lt;=E20,G20=0),"Unchanged","Check")</f>
        <v>Unchanged</v>
      </c>
    </row>
    <row r="21">
      <c r="A21" s="35" t="inlineStr">
        <is>
          <t>Unmatched serious catches counted as released</t>
        </is>
      </c>
      <c r="B21" s="22" t="n">
        <v>48</v>
      </c>
      <c r="C21" s="22" t="n">
        <v>24</v>
      </c>
      <c r="D21" s="22" t="n">
        <v>23</v>
      </c>
      <c r="E21" s="22" t="n">
        <v>24</v>
      </c>
      <c r="F21" s="22" t="n">
        <v>19</v>
      </c>
      <c r="G21" s="22" t="n">
        <v>0</v>
      </c>
      <c r="H21" s="34" t="str">
        <f>IF(AND(D21&lt;=C21,F21&lt;=E21,G21=0),"Unchanged","Check")</f>
        <v>Unchanged</v>
      </c>
    </row>
    <row r="22">
      <c r="A22" s="17" t="inlineStr">
        <is>
          <t>Omit cases changed after the audit</t>
        </is>
      </c>
      <c r="B22" s="18" t="n">
        <v>36</v>
      </c>
      <c r="C22" s="18" t="n">
        <v>22</v>
      </c>
      <c r="D22" s="18" t="n">
        <v>21</v>
      </c>
      <c r="E22" s="18" t="n">
        <v>22</v>
      </c>
      <c r="F22" s="18" t="n">
        <v>17</v>
      </c>
      <c r="G22" s="18" t="n">
        <v>0</v>
      </c>
      <c r="H22" s="33" t="str">
        <f>IF(AND(D22&lt;=C22,F22&lt;=E22,G22=0),"Unchanged","Check")</f>
        <v>Unchanged</v>
      </c>
    </row>
    <row r="23">
      <c r="A23" s="13" t="inlineStr">
        <is>
          <t>Source: supplement_results.json S16_frozen_surfaced. Direction formula is live: edit a value and it re-evaluates.</t>
        </is>
      </c>
    </row>
    <row r="25">
      <c r="A25" s="5" t="inlineStr">
        <is>
          <t>Table 2. Comparison rules applied to the same answers (48 per model)</t>
        </is>
      </c>
    </row>
    <row r="26" ht="30" customHeight="1">
      <c r="A26" s="15" t="inlineStr">
        <is>
          <t>Rule</t>
        </is>
      </c>
      <c r="B26" s="16" t="inlineStr">
        <is>
          <t>Astra serious released</t>
        </is>
      </c>
      <c r="C26" s="16" t="inlineStr">
        <is>
          <t>Astra useful</t>
        </is>
      </c>
      <c r="D26" s="16" t="inlineStr">
        <is>
          <t>Luna serious released</t>
        </is>
      </c>
      <c r="E26" s="16" t="inlineStr">
        <is>
          <t>Luna useful</t>
        </is>
      </c>
    </row>
    <row r="27">
      <c r="A27" s="17" t="inlineStr">
        <is>
          <t>Withhold everything</t>
        </is>
      </c>
      <c r="B27" s="18" t="n">
        <v>0</v>
      </c>
      <c r="C27" s="18" t="n">
        <v>0</v>
      </c>
      <c r="D27" s="18" t="n">
        <v>0</v>
      </c>
      <c r="E27" s="18" t="n">
        <v>0</v>
      </c>
    </row>
    <row r="28">
      <c r="A28" s="21" t="inlineStr">
        <is>
          <t>Block format failures only</t>
        </is>
      </c>
      <c r="B28" s="22" t="n">
        <v>0</v>
      </c>
      <c r="C28" s="22" t="n">
        <v>24</v>
      </c>
      <c r="D28" s="22" t="n">
        <v>0</v>
      </c>
      <c r="E28" s="22" t="n">
        <v>24</v>
      </c>
    </row>
    <row r="29">
      <c r="A29" s="32" t="inlineStr">
        <is>
          <t>Route the 19 judgment-dominant cases to a person</t>
        </is>
      </c>
      <c r="B29" s="18" t="n">
        <v>0</v>
      </c>
      <c r="C29" s="18" t="n">
        <v>8</v>
      </c>
      <c r="D29" s="18" t="n">
        <v>0</v>
      </c>
      <c r="E29" s="18" t="n">
        <v>8</v>
      </c>
    </row>
    <row r="31">
      <c r="A31" s="5" t="inlineStr">
        <is>
          <t>Table 3. Bounds: unscored answers assigned least favourably (all 48 treated as scored)</t>
        </is>
      </c>
    </row>
    <row r="32" ht="30" customHeight="1">
      <c r="A32" s="15" t="inlineStr">
        <is>
          <t>Condition</t>
        </is>
      </c>
      <c r="B32" s="16" t="inlineStr">
        <is>
          <t>A: serious released (of 48)</t>
        </is>
      </c>
      <c r="C32" s="16" t="inlineStr">
        <is>
          <t>A: useful (of 48)</t>
        </is>
      </c>
      <c r="D32" s="16" t="inlineStr">
        <is>
          <t>A: serious withheld</t>
        </is>
      </c>
      <c r="E32" s="16" t="inlineStr">
        <is>
          <t>A: unnecessary withholding</t>
        </is>
      </c>
      <c r="F32" s="16" t="inlineStr">
        <is>
          <t>B: serious released (of 48)</t>
        </is>
      </c>
      <c r="G32" s="16" t="inlineStr">
        <is>
          <t>B: useful (of 48)</t>
        </is>
      </c>
      <c r="H32" s="16" t="inlineStr">
        <is>
          <t>B: serious withheld</t>
        </is>
      </c>
      <c r="I32" s="16" t="inlineStr">
        <is>
          <t>B: unnecessary withholding</t>
        </is>
      </c>
    </row>
    <row r="33">
      <c r="A33" s="17" t="inlineStr">
        <is>
          <t>Astra, direct</t>
        </is>
      </c>
      <c r="B33" s="18" t="n">
        <v>18</v>
      </c>
      <c r="C33" s="18" t="n">
        <v>30</v>
      </c>
      <c r="D33" s="28" t="inlineStr">
        <is>
          <t>0/18</t>
        </is>
      </c>
      <c r="E33" s="28" t="inlineStr">
        <is>
          <t>0/30</t>
        </is>
      </c>
      <c r="F33" s="18" t="n">
        <v>18</v>
      </c>
      <c r="G33" s="18" t="n">
        <v>30</v>
      </c>
      <c r="H33" s="28" t="inlineStr">
        <is>
          <t>0/18</t>
        </is>
      </c>
      <c r="I33" s="28" t="inlineStr">
        <is>
          <t>0/30</t>
        </is>
      </c>
    </row>
    <row r="34">
      <c r="A34" s="21" t="inlineStr">
        <is>
          <t>Astra, checked</t>
        </is>
      </c>
      <c r="B34" s="22" t="n">
        <v>18</v>
      </c>
      <c r="C34" s="22" t="n">
        <v>23</v>
      </c>
      <c r="D34" s="29" t="inlineStr">
        <is>
          <t>0/18</t>
        </is>
      </c>
      <c r="E34" s="29" t="inlineStr">
        <is>
          <t>7/30</t>
        </is>
      </c>
      <c r="F34" s="22" t="n">
        <v>18</v>
      </c>
      <c r="G34" s="22" t="n">
        <v>23</v>
      </c>
      <c r="H34" s="29" t="inlineStr">
        <is>
          <t>0/18</t>
        </is>
      </c>
      <c r="I34" s="29" t="inlineStr">
        <is>
          <t>7/30</t>
        </is>
      </c>
    </row>
    <row r="35">
      <c r="A35" s="17" t="inlineStr">
        <is>
          <t>Luna, direct</t>
        </is>
      </c>
      <c r="B35" s="18" t="n">
        <v>18</v>
      </c>
      <c r="C35" s="18" t="n">
        <v>30</v>
      </c>
      <c r="D35" s="28" t="inlineStr">
        <is>
          <t>0/18</t>
        </is>
      </c>
      <c r="E35" s="28" t="inlineStr">
        <is>
          <t>0/30</t>
        </is>
      </c>
      <c r="F35" s="18" t="n">
        <v>18</v>
      </c>
      <c r="G35" s="18" t="n">
        <v>30</v>
      </c>
      <c r="H35" s="28" t="inlineStr">
        <is>
          <t>0/18</t>
        </is>
      </c>
      <c r="I35" s="28" t="inlineStr">
        <is>
          <t>0/30</t>
        </is>
      </c>
    </row>
    <row r="36">
      <c r="A36" s="21" t="inlineStr">
        <is>
          <t>Luna, checked</t>
        </is>
      </c>
      <c r="B36" s="22" t="n">
        <v>18</v>
      </c>
      <c r="C36" s="22" t="n">
        <v>21</v>
      </c>
      <c r="D36" s="29" t="inlineStr">
        <is>
          <t>0/18</t>
        </is>
      </c>
      <c r="E36" s="29" t="inlineStr">
        <is>
          <t>9/30</t>
        </is>
      </c>
      <c r="F36" s="22" t="n">
        <v>18</v>
      </c>
      <c r="G36" s="22" t="n">
        <v>21</v>
      </c>
      <c r="H36" s="29" t="inlineStr">
        <is>
          <t>0/18</t>
        </is>
      </c>
      <c r="I36" s="29" t="inlineStr">
        <is>
          <t>9/30</t>
        </is>
      </c>
    </row>
    <row r="37">
      <c r="A37" s="13" t="inlineStr">
        <is>
          <t>A = least favourable to checks; B = least favourable to direct release. In S6a the direct pathway treats every unresolved answer as serious because direct releases everything. Interpret serious_released and useful_release only.</t>
        </is>
      </c>
    </row>
    <row r="39">
      <c r="A39" s="5" t="inlineStr">
        <is>
          <t>Table 4. Exposure sensitivity: drop answers seen during timed review</t>
        </is>
      </c>
    </row>
    <row r="40" ht="30" customHeight="1">
      <c r="A40" s="15" t="inlineStr">
        <is>
          <t>Variant</t>
        </is>
      </c>
      <c r="B40" s="16" t="inlineStr">
        <is>
          <t>Condition</t>
        </is>
      </c>
      <c r="C40" s="16" t="inlineStr">
        <is>
          <t>Scheduled</t>
        </is>
      </c>
      <c r="D40" s="16" t="inlineStr">
        <is>
          <t>Scored</t>
        </is>
      </c>
      <c r="E40" s="16" t="inlineStr">
        <is>
          <t>Useful releases</t>
        </is>
      </c>
      <c r="F40" s="16" t="inlineStr">
        <is>
          <t>Serious released</t>
        </is>
      </c>
      <c r="G40" s="16" t="inlineStr">
        <is>
          <t>Unnecessary withholding</t>
        </is>
      </c>
    </row>
    <row r="41">
      <c r="A41" s="17" t="inlineStr">
        <is>
          <t>Exclude all 24 timed answers</t>
        </is>
      </c>
      <c r="B41" s="28" t="inlineStr">
        <is>
          <t>Astra, direct</t>
        </is>
      </c>
      <c r="C41" s="18" t="n">
        <v>36</v>
      </c>
      <c r="D41" s="18" t="n">
        <v>24</v>
      </c>
      <c r="E41" s="18" t="n">
        <v>24</v>
      </c>
      <c r="F41" s="18" t="n">
        <v>0</v>
      </c>
      <c r="G41" s="28" t="inlineStr">
        <is>
          <t>0/24</t>
        </is>
      </c>
    </row>
    <row r="42">
      <c r="A42" s="21" t="inlineStr">
        <is>
          <t>Exclude all 24 timed answers</t>
        </is>
      </c>
      <c r="B42" s="29" t="inlineStr">
        <is>
          <t>Astra, checked</t>
        </is>
      </c>
      <c r="C42" s="22" t="n">
        <v>36</v>
      </c>
      <c r="D42" s="22" t="n">
        <v>24</v>
      </c>
      <c r="E42" s="22" t="n">
        <v>18</v>
      </c>
      <c r="F42" s="22" t="n">
        <v>0</v>
      </c>
      <c r="G42" s="29" t="inlineStr">
        <is>
          <t>6/24</t>
        </is>
      </c>
    </row>
    <row r="43">
      <c r="A43" s="17" t="inlineStr">
        <is>
          <t>Exclude all 24 timed answers</t>
        </is>
      </c>
      <c r="B43" s="28" t="inlineStr">
        <is>
          <t>Luna, direct</t>
        </is>
      </c>
      <c r="C43" s="18" t="n">
        <v>36</v>
      </c>
      <c r="D43" s="18" t="n">
        <v>21</v>
      </c>
      <c r="E43" s="18" t="n">
        <v>21</v>
      </c>
      <c r="F43" s="18" t="n">
        <v>0</v>
      </c>
      <c r="G43" s="28" t="inlineStr">
        <is>
          <t>0/21</t>
        </is>
      </c>
    </row>
    <row r="44">
      <c r="A44" s="21" t="inlineStr">
        <is>
          <t>Exclude all 24 timed answers</t>
        </is>
      </c>
      <c r="B44" s="29" t="inlineStr">
        <is>
          <t>Luna, checked</t>
        </is>
      </c>
      <c r="C44" s="22" t="n">
        <v>36</v>
      </c>
      <c r="D44" s="22" t="n">
        <v>21</v>
      </c>
      <c r="E44" s="22" t="n">
        <v>15</v>
      </c>
      <c r="F44" s="22" t="n">
        <v>0</v>
      </c>
      <c r="G44" s="29" t="inlineStr">
        <is>
          <t>6/21</t>
        </is>
      </c>
    </row>
    <row r="45">
      <c r="A45" s="17" t="inlineStr">
        <is>
          <t>Exclude 12 answers timed under checks</t>
        </is>
      </c>
      <c r="B45" s="28" t="inlineStr">
        <is>
          <t>Astra, direct</t>
        </is>
      </c>
      <c r="C45" s="18" t="n">
        <v>42</v>
      </c>
      <c r="D45" s="18" t="n">
        <v>26</v>
      </c>
      <c r="E45" s="18" t="n">
        <v>26</v>
      </c>
      <c r="F45" s="18" t="n">
        <v>0</v>
      </c>
      <c r="G45" s="28" t="inlineStr">
        <is>
          <t>0/26</t>
        </is>
      </c>
    </row>
    <row r="46">
      <c r="A46" s="21" t="inlineStr">
        <is>
          <t>Exclude 12 answers timed under checks</t>
        </is>
      </c>
      <c r="B46" s="29" t="inlineStr">
        <is>
          <t>Astra, checked</t>
        </is>
      </c>
      <c r="C46" s="22" t="n">
        <v>42</v>
      </c>
      <c r="D46" s="22" t="n">
        <v>26</v>
      </c>
      <c r="E46" s="22" t="n">
        <v>20</v>
      </c>
      <c r="F46" s="22" t="n">
        <v>0</v>
      </c>
      <c r="G46" s="29" t="inlineStr">
        <is>
          <t>6/26</t>
        </is>
      </c>
    </row>
    <row r="47">
      <c r="A47" s="17" t="inlineStr">
        <is>
          <t>Exclude 12 answers timed under checks</t>
        </is>
      </c>
      <c r="B47" s="28" t="inlineStr">
        <is>
          <t>Luna, direct</t>
        </is>
      </c>
      <c r="C47" s="18" t="n">
        <v>42</v>
      </c>
      <c r="D47" s="18" t="n">
        <v>25</v>
      </c>
      <c r="E47" s="18" t="n">
        <v>25</v>
      </c>
      <c r="F47" s="18" t="n">
        <v>0</v>
      </c>
      <c r="G47" s="28" t="inlineStr">
        <is>
          <t>0/25</t>
        </is>
      </c>
    </row>
    <row r="48">
      <c r="A48" s="21" t="inlineStr">
        <is>
          <t>Exclude 12 answers timed under checks</t>
        </is>
      </c>
      <c r="B48" s="29" t="inlineStr">
        <is>
          <t>Luna, checked</t>
        </is>
      </c>
      <c r="C48" s="22" t="n">
        <v>42</v>
      </c>
      <c r="D48" s="22" t="n">
        <v>25</v>
      </c>
      <c r="E48" s="22" t="n">
        <v>18</v>
      </c>
      <c r="F48" s="22" t="n">
        <v>0</v>
      </c>
      <c r="G48" s="29" t="inlineStr">
        <is>
          <t>7/25</t>
        </is>
      </c>
    </row>
    <row r="49">
      <c r="A49" s="13" t="inlineStr">
        <is>
          <t>Source: supplement_results.json S6a, S6b, S14, S16.</t>
        </is>
      </c>
    </row>
  </sheetData>
  <pageMargins left="0.75" right="0.75" top="1" bottom="1" header="0.5" footer="0.5"/>
  <pageSetup orientation="landscape" paperSize="9" fitToHeight="0" fitToWidth="1"/>
</worksheet>
</file>

<file path=xl/worksheets/sheet7.xml><?xml version="1.0" encoding="utf-8"?>
<worksheet xmlns="http://schemas.openxmlformats.org/spreadsheetml/2006/main">
  <sheetPr>
    <tabColor rgb="00D5DAE1"/>
    <outlinePr summaryBelow="1" summaryRight="1"/>
    <pageSetUpPr fitToPage="1"/>
  </sheetPr>
  <dimension ref="A1:R66"/>
  <sheetViews>
    <sheetView showGridLines="0" workbookViewId="0">
      <pane ySplit="3" topLeftCell="A4" activePane="bottomLeft" state="frozen"/>
      <selection pane="bottomLeft" activeCell="A1" sqref="A1"/>
    </sheetView>
  </sheetViews>
  <sheetFormatPr baseColWidth="8" defaultRowHeight="15"/>
  <cols>
    <col width="18" customWidth="1" min="1" max="1"/>
    <col width="1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4" customWidth="1" min="10" max="10"/>
    <col width="12" customWidth="1" min="11" max="11"/>
    <col width="12" customWidth="1" min="12" max="12"/>
    <col width="12" customWidth="1" min="13" max="13"/>
    <col width="10" customWidth="1" min="14" max="14"/>
    <col width="10" customWidth="1" min="15" max="15"/>
    <col width="10" customWidth="1" min="16" max="16"/>
    <col width="14" customWidth="1" min="17" max="17"/>
    <col width="12" customWidth="1" min="18" max="18"/>
  </cols>
  <sheetData>
    <row r="1" ht="24" customHeight="1">
      <c r="A1" s="1" t="inlineStr">
        <is>
          <t>Researcher checking time (timed review, Sep 16 to 17)</t>
        </is>
      </c>
    </row>
    <row r="2">
      <c r="A2" s="2" t="inlineStr">
        <is>
          <t>24 answers, 6 per condition, each a different case. Decision time = until accept/edit/refer; correction time = active editing. Seconds.</t>
        </is>
      </c>
    </row>
    <row r="4">
      <c r="A4" s="5" t="inlineStr">
        <is>
          <t>Table 1. Decision time and corrections per condition</t>
        </is>
      </c>
    </row>
    <row r="5" ht="30" customHeight="1">
      <c r="A5" s="15" t="inlineStr">
        <is>
          <t>Condition</t>
        </is>
      </c>
      <c r="B5" s="16" t="inlineStr">
        <is>
          <t>Primary n</t>
        </is>
      </c>
      <c r="C5" s="16" t="inlineStr">
        <is>
          <t>Median decision (s)</t>
        </is>
      </c>
      <c r="D5" s="16" t="inlineStr">
        <is>
          <t>Min (s)</t>
        </is>
      </c>
      <c r="E5" s="16" t="inlineStr">
        <is>
          <t>Max (s)</t>
        </is>
      </c>
      <c r="F5" s="16" t="inlineStr">
        <is>
          <t>Median (min)</t>
        </is>
      </c>
      <c r="G5" s="16" t="inlineStr">
        <is>
          <t>All-recorded n</t>
        </is>
      </c>
      <c r="H5" s="16" t="inlineStr">
        <is>
          <t>All-recorded median (s)</t>
        </is>
      </c>
      <c r="I5" s="16" t="inlineStr">
        <is>
          <t>All-recorded min (s)</t>
        </is>
      </c>
      <c r="J5" s="16" t="inlineStr">
        <is>
          <t>All-recorded max (s)</t>
        </is>
      </c>
      <c r="K5" s="16" t="inlineStr">
        <is>
          <t>Primary items with correction</t>
        </is>
      </c>
      <c r="L5" s="16" t="inlineStr">
        <is>
          <t>Correction median (s)</t>
        </is>
      </c>
      <c r="M5" s="16" t="inlineStr">
        <is>
          <t>Correction min (s)</t>
        </is>
      </c>
      <c r="N5" s="16" t="inlineStr">
        <is>
          <t>Correction max (s)</t>
        </is>
      </c>
      <c r="O5" s="16" t="inlineStr">
        <is>
          <t>Decisions: accept</t>
        </is>
      </c>
      <c r="P5" s="16" t="inlineStr">
        <is>
          <t>Decisions: minor edit</t>
        </is>
      </c>
      <c r="Q5" s="16" t="inlineStr">
        <is>
          <t>Check overrides</t>
        </is>
      </c>
      <c r="R5" s="16" t="inlineStr">
        <is>
          <t>Flagged item excluded</t>
        </is>
      </c>
    </row>
    <row r="6">
      <c r="A6" s="17" t="inlineStr">
        <is>
          <t>Astra, direct</t>
        </is>
      </c>
      <c r="B6" s="18" t="n">
        <v>5</v>
      </c>
      <c r="C6" s="36" t="n">
        <v>98.47104</v>
      </c>
      <c r="D6" s="36" t="n">
        <v>55.273981</v>
      </c>
      <c r="E6" s="36" t="n">
        <v>262.807608</v>
      </c>
      <c r="F6" s="37">
        <f>C6/60</f>
        <v>1.641184</v>
      </c>
      <c r="G6" s="18" t="n">
        <v>6</v>
      </c>
      <c r="H6" s="36" t="n">
        <v>114.3546645</v>
      </c>
      <c r="I6" s="36" t="n">
        <v>55.273981</v>
      </c>
      <c r="J6" s="36" t="n">
        <v>512.829709</v>
      </c>
      <c r="K6" s="18" t="n">
        <v>2</v>
      </c>
      <c r="L6" s="36" t="n">
        <v>530.2780195</v>
      </c>
      <c r="M6" s="36" t="n">
        <v>424.589923</v>
      </c>
      <c r="N6" s="36" t="n">
        <v>635.9661160000001</v>
      </c>
      <c r="O6" s="18" t="n">
        <v>3</v>
      </c>
      <c r="P6" s="18" t="n">
        <v>3</v>
      </c>
      <c r="Q6" s="18" t="n">
        <v>0</v>
      </c>
      <c r="R6" s="28" t="inlineStr">
        <is>
          <t>T02</t>
        </is>
      </c>
    </row>
    <row r="7">
      <c r="A7" s="21" t="inlineStr">
        <is>
          <t>Astra, checked</t>
        </is>
      </c>
      <c r="B7" s="22" t="n">
        <v>5</v>
      </c>
      <c r="C7" s="38" t="n">
        <v>157.552193</v>
      </c>
      <c r="D7" s="38" t="n">
        <v>90.955817</v>
      </c>
      <c r="E7" s="38" t="n">
        <v>355.15493</v>
      </c>
      <c r="F7" s="39">
        <f>C7/60</f>
        <v>2.625869883333333</v>
      </c>
      <c r="G7" s="22" t="n">
        <v>6</v>
      </c>
      <c r="H7" s="38" t="n">
        <v>193.0062935</v>
      </c>
      <c r="I7" s="38" t="n">
        <v>90.955817</v>
      </c>
      <c r="J7" s="38" t="n">
        <v>355.15493</v>
      </c>
      <c r="K7" s="22" t="n">
        <v>3</v>
      </c>
      <c r="L7" s="38" t="n">
        <v>262.016286</v>
      </c>
      <c r="M7" s="38" t="n">
        <v>81.462897</v>
      </c>
      <c r="N7" s="38" t="n">
        <v>415.760587</v>
      </c>
      <c r="O7" s="22" t="n">
        <v>3</v>
      </c>
      <c r="P7" s="22" t="n">
        <v>3</v>
      </c>
      <c r="Q7" s="22" t="n">
        <v>1</v>
      </c>
      <c r="R7" s="29" t="inlineStr">
        <is>
          <t>T04</t>
        </is>
      </c>
    </row>
    <row r="8">
      <c r="A8" s="17" t="inlineStr">
        <is>
          <t>Luna, direct</t>
        </is>
      </c>
      <c r="B8" s="18" t="n">
        <v>5</v>
      </c>
      <c r="C8" s="36" t="n">
        <v>121.769823</v>
      </c>
      <c r="D8" s="36" t="n">
        <v>78.258505</v>
      </c>
      <c r="E8" s="36" t="n">
        <v>214.881748</v>
      </c>
      <c r="F8" s="37">
        <f>C8/60</f>
        <v>2.0294970500000002</v>
      </c>
      <c r="G8" s="18" t="n">
        <v>6</v>
      </c>
      <c r="H8" s="36" t="n">
        <v>122.015512</v>
      </c>
      <c r="I8" s="36" t="n">
        <v>78.258505</v>
      </c>
      <c r="J8" s="36" t="n">
        <v>214.881748</v>
      </c>
      <c r="K8" s="18" t="n">
        <v>2</v>
      </c>
      <c r="L8" s="36" t="n">
        <v>217.579122</v>
      </c>
      <c r="M8" s="36" t="n">
        <v>101.318823</v>
      </c>
      <c r="N8" s="36" t="n">
        <v>333.839421</v>
      </c>
      <c r="O8" s="18" t="n">
        <v>4</v>
      </c>
      <c r="P8" s="18" t="n">
        <v>2</v>
      </c>
      <c r="Q8" s="18" t="n">
        <v>0</v>
      </c>
      <c r="R8" s="28" t="inlineStr">
        <is>
          <t>T16</t>
        </is>
      </c>
    </row>
    <row r="9">
      <c r="A9" s="21" t="inlineStr">
        <is>
          <t>Luna, checked</t>
        </is>
      </c>
      <c r="B9" s="22" t="n">
        <v>5</v>
      </c>
      <c r="C9" s="38" t="n">
        <v>119.717877</v>
      </c>
      <c r="D9" s="38" t="n">
        <v>60.691801</v>
      </c>
      <c r="E9" s="38" t="n">
        <v>301.122406</v>
      </c>
      <c r="F9" s="39">
        <f>C9/60</f>
        <v>1.99529795</v>
      </c>
      <c r="G9" s="22" t="n">
        <v>6</v>
      </c>
      <c r="H9" s="38" t="n">
        <v>108.4517465</v>
      </c>
      <c r="I9" s="38" t="n">
        <v>60.691801</v>
      </c>
      <c r="J9" s="38" t="n">
        <v>301.122406</v>
      </c>
      <c r="K9" s="22" t="n">
        <v>0</v>
      </c>
      <c r="L9" s="38" t="n"/>
      <c r="M9" s="38" t="n"/>
      <c r="N9" s="38" t="n"/>
      <c r="O9" s="22" t="n">
        <v>5</v>
      </c>
      <c r="P9" s="22" t="n">
        <v>1</v>
      </c>
      <c r="Q9" s="22" t="n">
        <v>2</v>
      </c>
      <c r="R9" s="29" t="inlineStr">
        <is>
          <t>T24</t>
        </is>
      </c>
    </row>
    <row r="10">
      <c r="A10" s="13" t="inlineStr">
        <is>
          <t>Primary summaries exclude flagged items (pre-run plan: clean records primary); all-recorded summaries are sensitivity. Flagged items: T02, T04, T16, T24; untimed gaps over 5 min: T02, T16.</t>
        </is>
      </c>
    </row>
    <row r="11">
      <c r="A11" s="13" t="inlineStr">
        <is>
          <t>Single familiar researcher, one item per case; describes this study only. Each condition contains different cases, so differences mix condition and case difficulty. No unassisted baseline was timed.</t>
        </is>
      </c>
    </row>
    <row r="13">
      <c r="A13" s="5" t="inlineStr">
        <is>
          <t>Table 2. Handling decision versus later human score (24 timed answers)</t>
        </is>
      </c>
    </row>
    <row r="14" ht="30" customHeight="1">
      <c r="A14" s="15" t="inlineStr">
        <is>
          <t>Route</t>
        </is>
      </c>
      <c r="B14" s="16" t="inlineStr">
        <is>
          <t>Decision</t>
        </is>
      </c>
      <c r="C14" s="16" t="inlineStr">
        <is>
          <t>Later scored acceptable</t>
        </is>
      </c>
      <c r="D14" s="16" t="inlineStr">
        <is>
          <t>Not scored</t>
        </is>
      </c>
    </row>
    <row r="15">
      <c r="A15" s="28" t="inlineStr">
        <is>
          <t>Direct</t>
        </is>
      </c>
      <c r="B15" s="28" t="inlineStr">
        <is>
          <t>Accept</t>
        </is>
      </c>
      <c r="C15" s="18" t="n">
        <v>4</v>
      </c>
      <c r="D15" s="18" t="n">
        <v>3</v>
      </c>
    </row>
    <row r="16">
      <c r="A16" s="29" t="inlineStr">
        <is>
          <t>Direct</t>
        </is>
      </c>
      <c r="B16" s="29" t="inlineStr">
        <is>
          <t>Minor edit</t>
        </is>
      </c>
      <c r="C16" s="22" t="n">
        <v>2</v>
      </c>
      <c r="D16" s="22" t="n">
        <v>3</v>
      </c>
    </row>
    <row r="17">
      <c r="A17" s="28" t="inlineStr">
        <is>
          <t>Checked</t>
        </is>
      </c>
      <c r="B17" s="28" t="inlineStr">
        <is>
          <t>Accept</t>
        </is>
      </c>
      <c r="C17" s="18" t="n">
        <v>6</v>
      </c>
      <c r="D17" s="18" t="n">
        <v>2</v>
      </c>
    </row>
    <row r="18">
      <c r="A18" s="29" t="inlineStr">
        <is>
          <t>Checked</t>
        </is>
      </c>
      <c r="B18" s="29" t="inlineStr">
        <is>
          <t>Minor edit</t>
        </is>
      </c>
      <c r="C18" s="22" t="n">
        <v>3</v>
      </c>
      <c r="D18" s="22" t="n">
        <v>1</v>
      </c>
    </row>
    <row r="19">
      <c r="A19" s="13" t="inlineStr">
        <is>
          <t>Serious among timed answers: 0; serious accepted without edit: 0. One familiar researcher; bounds rather than estimates reviewer miss rates. Whether edits removed errors needs inspection of saved final products.</t>
        </is>
      </c>
    </row>
    <row r="21">
      <c r="A21" s="5" t="inlineStr">
        <is>
          <t>Chart data (primary rule)</t>
        </is>
      </c>
    </row>
    <row r="22">
      <c r="A22" s="27" t="inlineStr">
        <is>
          <t>Condition</t>
        </is>
      </c>
      <c r="B22" s="27" t="inlineStr">
        <is>
          <t>Median decision time (s)</t>
        </is>
      </c>
      <c r="C22" s="27" t="inlineStr">
        <is>
          <t>Plus (max - median)</t>
        </is>
      </c>
      <c r="D22" s="27" t="inlineStr">
        <is>
          <t>Minus (median - min)</t>
        </is>
      </c>
      <c r="E22" s="27" t="inlineStr">
        <is>
          <t>Accept</t>
        </is>
      </c>
      <c r="F22" s="27" t="inlineStr">
        <is>
          <t>Minor edit</t>
        </is>
      </c>
    </row>
    <row r="23">
      <c r="A23" s="27" t="inlineStr">
        <is>
          <t>Astra, direct</t>
        </is>
      </c>
      <c r="B23" s="27" t="n">
        <v>98.5</v>
      </c>
      <c r="C23" s="27" t="n">
        <v>164.3</v>
      </c>
      <c r="D23" s="27" t="n">
        <v>43.2</v>
      </c>
      <c r="E23" s="27" t="n">
        <v>3</v>
      </c>
      <c r="F23" s="27" t="n">
        <v>3</v>
      </c>
    </row>
    <row r="24">
      <c r="A24" s="27" t="inlineStr">
        <is>
          <t>Astra, checked</t>
        </is>
      </c>
      <c r="B24" s="27" t="n">
        <v>157.6</v>
      </c>
      <c r="C24" s="27" t="n">
        <v>197.6</v>
      </c>
      <c r="D24" s="27" t="n">
        <v>66.59999999999999</v>
      </c>
      <c r="E24" s="27" t="n">
        <v>3</v>
      </c>
      <c r="F24" s="27" t="n">
        <v>3</v>
      </c>
    </row>
    <row r="25">
      <c r="A25" s="27" t="inlineStr">
        <is>
          <t>Luna, direct</t>
        </is>
      </c>
      <c r="B25" s="27" t="n">
        <v>121.8</v>
      </c>
      <c r="C25" s="27" t="n">
        <v>93.09999999999999</v>
      </c>
      <c r="D25" s="27" t="n">
        <v>43.5</v>
      </c>
      <c r="E25" s="27" t="n">
        <v>4</v>
      </c>
      <c r="F25" s="27" t="n">
        <v>2</v>
      </c>
    </row>
    <row r="26">
      <c r="A26" s="27" t="inlineStr">
        <is>
          <t>Luna, checked</t>
        </is>
      </c>
      <c r="B26" s="27" t="n">
        <v>119.7</v>
      </c>
      <c r="C26" s="27" t="n">
        <v>181.4</v>
      </c>
      <c r="D26" s="27" t="n">
        <v>59</v>
      </c>
      <c r="E26" s="27" t="n">
        <v>5</v>
      </c>
      <c r="F26" s="27" t="n">
        <v>1</v>
      </c>
    </row>
    <row r="46">
      <c r="A46" s="14" t="inlineStr">
        <is>
          <t>Source: supplement_results.json S8_timing (primary rule: flagged items excluded, n = 5 per condition). Grey = direct, blue = checked.</t>
        </is>
      </c>
    </row>
    <row r="66">
      <c r="A66" s="14" t="inlineStr">
        <is>
          <t>Source: supplement_results.json S8_timing decisions (all 6 recorded items per condition).</t>
        </is>
      </c>
    </row>
  </sheetData>
  <pageMargins left="0.75" right="0.75" top="1" bottom="1" header="0.5" footer="0.5"/>
  <pageSetup orientation="landscape" paperSize="9" fitToHeight="0" fitToWidth="1"/>
  <drawing xmlns:r="http://schemas.openxmlformats.org/officeDocument/2006/relationships" r:id="rId1"/>
</worksheet>
</file>

<file path=xl/worksheets/sheet8.xml><?xml version="1.0" encoding="utf-8"?>
<worksheet xmlns="http://schemas.openxmlformats.org/spreadsheetml/2006/main">
  <sheetPr>
    <tabColor rgb="00D5DAE1"/>
    <outlinePr summaryBelow="1" summaryRight="1"/>
    <pageSetUpPr fitToPage="1"/>
  </sheetPr>
  <dimension ref="A1:H58"/>
  <sheetViews>
    <sheetView showGridLines="0" workbookViewId="0">
      <pane ySplit="3" topLeftCell="A4" activePane="bottomLeft" state="frozen"/>
      <selection pane="bottomLeft"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4" customWidth="1" min="7" max="7"/>
    <col width="16" customWidth="1" min="8" max="8"/>
  </cols>
  <sheetData>
    <row r="1" ht="24" customHeight="1">
      <c r="A1" s="1" t="inlineStr">
        <is>
          <t>Agreement: independent reviewers and the AI judge versus the researcher</t>
        </is>
      </c>
    </row>
    <row r="2">
      <c r="A2" s="2" t="inlineStr">
        <is>
          <t>Reviewer labels are anonymised. The AI judge (DeepSeek V4 Pro) is a cross-check only; it never changed a human score.</t>
        </is>
      </c>
    </row>
    <row r="4">
      <c r="A4" s="5" t="inlineStr">
        <is>
          <t>Table 1. Independent reviewers (researcher-scored answers only)</t>
        </is>
      </c>
    </row>
    <row r="5" ht="30" customHeight="1">
      <c r="A5" s="15" t="inlineStr">
        <is>
          <t>Reviewer</t>
        </is>
      </c>
      <c r="B5" s="16" t="inlineStr">
        <is>
          <t>Packet(s)</t>
        </is>
      </c>
      <c r="C5" s="16" t="inlineStr">
        <is>
          <t>Answers returned</t>
        </is>
      </c>
      <c r="D5" s="16" t="inlineStr">
        <is>
          <t>Comparisons with researcher</t>
        </is>
      </c>
      <c r="E5" s="16" t="inlineStr">
        <is>
          <t>Criteria compared</t>
        </is>
      </c>
      <c r="F5" s="16" t="inlineStr">
        <is>
          <t>Criteria agreed</t>
        </is>
      </c>
      <c r="G5" s="16" t="inlineStr">
        <is>
          <t>Criterion agreement</t>
        </is>
      </c>
    </row>
    <row r="6">
      <c r="A6" s="17" t="inlineStr">
        <is>
          <t>Reviewer 1</t>
        </is>
      </c>
      <c r="B6" s="28" t="inlineStr">
        <is>
          <t>A1-Core</t>
        </is>
      </c>
      <c r="C6" s="18" t="n">
        <v>6</v>
      </c>
      <c r="D6" s="18" t="n">
        <v>5</v>
      </c>
      <c r="E6" s="18" t="n">
        <v>19</v>
      </c>
      <c r="F6" s="18" t="n">
        <v>17</v>
      </c>
      <c r="G6" s="19">
        <f>F6/E6</f>
        <v>0.8947368421052632</v>
      </c>
    </row>
    <row r="7">
      <c r="A7" s="21" t="inlineStr">
        <is>
          <t>Reviewer 2</t>
        </is>
      </c>
      <c r="B7" s="29" t="inlineStr">
        <is>
          <t>D1-Core + D1-Optional</t>
        </is>
      </c>
      <c r="C7" s="22" t="n">
        <v>10</v>
      </c>
      <c r="D7" s="22" t="n">
        <v>6</v>
      </c>
      <c r="E7" s="22" t="n">
        <v>20</v>
      </c>
      <c r="F7" s="22" t="n">
        <v>19</v>
      </c>
      <c r="G7" s="23">
        <f>F7/E7</f>
        <v>0.95</v>
      </c>
    </row>
    <row r="8">
      <c r="A8" s="17" t="inlineStr">
        <is>
          <t>Reviewer 3</t>
        </is>
      </c>
      <c r="B8" s="28" t="inlineStr">
        <is>
          <t>C1-Core</t>
        </is>
      </c>
      <c r="C8" s="18" t="n">
        <v>6</v>
      </c>
      <c r="D8" s="18" t="n">
        <v>4</v>
      </c>
      <c r="E8" s="18" t="n">
        <v>14</v>
      </c>
      <c r="F8" s="18" t="n">
        <v>13</v>
      </c>
      <c r="G8" s="19">
        <f>F8/E8</f>
        <v>0.9285714285714286</v>
      </c>
    </row>
    <row r="9">
      <c r="A9" s="21" t="inlineStr">
        <is>
          <t>Total</t>
        </is>
      </c>
      <c r="B9" s="29" t="inlineStr"/>
      <c r="C9" s="22">
        <f>SUM(C6:C8)</f>
        <v>22</v>
      </c>
      <c r="D9" s="22">
        <f>SUM(D6:D8)</f>
        <v>15</v>
      </c>
      <c r="E9" s="22">
        <f>SUM(E6:E8)</f>
        <v>53</v>
      </c>
      <c r="F9" s="22">
        <f>SUM(F6:F8)</f>
        <v>49</v>
      </c>
      <c r="G9" s="23">
        <f>F9/E9</f>
        <v>0.9245283018867925</v>
      </c>
    </row>
    <row r="10">
      <c r="A10" s="13" t="inlineStr">
        <is>
          <t>15 comparisons on 11 unique answers (2 answers seen by more than one reviewer). Reviewer 2 returned two packets. Source: reviewer_agreement.json; returned/extracted.</t>
        </is>
      </c>
    </row>
    <row r="12">
      <c r="A12" s="5" t="inlineStr">
        <is>
          <t>Table 2. Two-by-two agreement tables</t>
        </is>
      </c>
    </row>
    <row r="13" ht="30" customHeight="1">
      <c r="A13" s="15" t="inlineStr">
        <is>
          <t>Measure</t>
        </is>
      </c>
      <c r="B13" s="16" t="inlineStr">
        <is>
          <t>Both yes</t>
        </is>
      </c>
      <c r="C13" s="16" t="inlineStr">
        <is>
          <t>Researcher yes, other no</t>
        </is>
      </c>
      <c r="D13" s="16" t="inlineStr">
        <is>
          <t>Researcher no, other yes</t>
        </is>
      </c>
      <c r="E13" s="16" t="inlineStr">
        <is>
          <t>Both no</t>
        </is>
      </c>
      <c r="F13" s="16" t="inlineStr">
        <is>
          <t>n</t>
        </is>
      </c>
      <c r="G13" s="16" t="inlineStr">
        <is>
          <t>Raw agreement</t>
        </is>
      </c>
    </row>
    <row r="14">
      <c r="A14" s="17" t="inlineStr">
        <is>
          <t>Reviewers: acceptable</t>
        </is>
      </c>
      <c r="B14" s="18" t="n">
        <v>15</v>
      </c>
      <c r="C14" s="18" t="n">
        <v>0</v>
      </c>
      <c r="D14" s="18" t="n">
        <v>0</v>
      </c>
      <c r="E14" s="18" t="n">
        <v>0</v>
      </c>
      <c r="F14" s="18" t="n">
        <v>15</v>
      </c>
      <c r="G14" s="20">
        <f>(B14+E14)/F14</f>
        <v>1.0</v>
      </c>
    </row>
    <row r="15">
      <c r="A15" s="21" t="inlineStr">
        <is>
          <t>Reviewers: serious error</t>
        </is>
      </c>
      <c r="B15" s="22" t="n">
        <v>0</v>
      </c>
      <c r="C15" s="22" t="n">
        <v>0</v>
      </c>
      <c r="D15" s="22" t="n">
        <v>0</v>
      </c>
      <c r="E15" s="22" t="n">
        <v>15</v>
      </c>
      <c r="F15" s="22" t="n">
        <v>15</v>
      </c>
      <c r="G15" s="24">
        <f>(B15+E15)/F15</f>
        <v>1.0</v>
      </c>
    </row>
    <row r="16">
      <c r="A16" s="17" t="inlineStr">
        <is>
          <t>Reviewers: criterion correct</t>
        </is>
      </c>
      <c r="B16" s="18" t="n">
        <v>49</v>
      </c>
      <c r="C16" s="18" t="n">
        <v>1</v>
      </c>
      <c r="D16" s="18" t="n">
        <v>3</v>
      </c>
      <c r="E16" s="18" t="n">
        <v>0</v>
      </c>
      <c r="F16" s="18" t="n">
        <v>53</v>
      </c>
      <c r="G16" s="20">
        <f>(B16+E16)/F16</f>
        <v>0.9245283018867925</v>
      </c>
    </row>
    <row r="17">
      <c r="A17" s="21" t="inlineStr">
        <is>
          <t>AI judge: acceptable</t>
        </is>
      </c>
      <c r="B17" s="22" t="n">
        <v>60</v>
      </c>
      <c r="C17" s="22" t="n">
        <v>0</v>
      </c>
      <c r="D17" s="22" t="n">
        <v>0</v>
      </c>
      <c r="E17" s="22" t="n">
        <v>0</v>
      </c>
      <c r="F17" s="22" t="n">
        <v>60</v>
      </c>
      <c r="G17" s="24">
        <f>(B17+E17)/F17</f>
        <v>1.0</v>
      </c>
    </row>
    <row r="18">
      <c r="A18" s="17" t="inlineStr">
        <is>
          <t>AI judge: serious error</t>
        </is>
      </c>
      <c r="B18" s="18" t="n">
        <v>0</v>
      </c>
      <c r="C18" s="18" t="n">
        <v>0</v>
      </c>
      <c r="D18" s="18" t="n">
        <v>0</v>
      </c>
      <c r="E18" s="18" t="n">
        <v>60</v>
      </c>
      <c r="F18" s="18" t="n">
        <v>60</v>
      </c>
      <c r="G18" s="20">
        <f>(B18+E18)/F18</f>
        <v>1.0</v>
      </c>
    </row>
    <row r="19">
      <c r="A19" s="21" t="inlineStr">
        <is>
          <t>AI judge: criterion correct</t>
        </is>
      </c>
      <c r="B19" s="22" t="n">
        <v>218</v>
      </c>
      <c r="C19" s="22" t="n">
        <v>0</v>
      </c>
      <c r="D19" s="22" t="n">
        <v>5</v>
      </c>
      <c r="E19" s="22" t="n">
        <v>1</v>
      </c>
      <c r="F19" s="22" t="n">
        <v>224</v>
      </c>
      <c r="G19" s="24">
        <f>(B19+E19)/F19</f>
        <v>0.9776785714285714</v>
      </c>
    </row>
    <row r="20">
      <c r="A20" s="13" t="inlineStr">
        <is>
          <t>Kappa is unstable at these n and undefined where one cell holds everything; the tables are reported instead (criterion kappa: reviewers -0.03, AI judge 0.28).</t>
        </is>
      </c>
    </row>
    <row r="22">
      <c r="A22" s="5" t="inlineStr">
        <is>
          <t>Table 3. Severity grade: exact agreement</t>
        </is>
      </c>
    </row>
    <row r="23" ht="30" customHeight="1">
      <c r="A23" s="15" t="inlineStr">
        <is>
          <t>Comparison</t>
        </is>
      </c>
      <c r="B23" s="16" t="inlineStr">
        <is>
          <t>Exact agreement</t>
        </is>
      </c>
      <c r="C23" s="16" t="inlineStr">
        <is>
          <t>n</t>
        </is>
      </c>
      <c r="D23" s="16" t="inlineStr">
        <is>
          <t>Share</t>
        </is>
      </c>
    </row>
    <row r="24">
      <c r="A24" s="17" t="inlineStr">
        <is>
          <t>Reviewers vs researcher</t>
        </is>
      </c>
      <c r="B24" s="18" t="n">
        <v>11</v>
      </c>
      <c r="C24" s="18" t="n">
        <v>15</v>
      </c>
      <c r="D24" s="20">
        <f>B24/C24</f>
        <v>0.7333333333333333</v>
      </c>
    </row>
    <row r="25">
      <c r="A25" s="21" t="inlineStr">
        <is>
          <t>AI judge vs researcher</t>
        </is>
      </c>
      <c r="B25" s="22" t="n">
        <v>54</v>
      </c>
      <c r="C25" s="22" t="n">
        <v>60</v>
      </c>
      <c r="D25" s="24">
        <f>B25/C25</f>
        <v>0.9</v>
      </c>
    </row>
    <row r="26">
      <c r="A26" s="13" t="inlineStr">
        <is>
          <t>All AI-judge severity disagreements: human Minor vs judge None (6). None changed acceptability.</t>
        </is>
      </c>
    </row>
    <row r="28">
      <c r="A28" s="5" t="inlineStr">
        <is>
          <t>Table 4. AI judge on all 96 primary answers, by model (aggregate)</t>
        </is>
      </c>
    </row>
    <row r="29" ht="30" customHeight="1">
      <c r="A29" s="15" t="inlineStr">
        <is>
          <t>Model</t>
        </is>
      </c>
      <c r="B29" s="16" t="inlineStr">
        <is>
          <t>Answers judged</t>
        </is>
      </c>
      <c r="C29" s="16" t="inlineStr">
        <is>
          <t>Judge: acceptable</t>
        </is>
      </c>
      <c r="D29" s="16" t="inlineStr">
        <is>
          <t>Judge: not acceptable</t>
        </is>
      </c>
      <c r="E29" s="16" t="inlineStr">
        <is>
          <t>Severity None</t>
        </is>
      </c>
      <c r="F29" s="16" t="inlineStr">
        <is>
          <t>Severity Minor</t>
        </is>
      </c>
      <c r="G29" s="16" t="inlineStr">
        <is>
          <t>Severity Major/Critical</t>
        </is>
      </c>
      <c r="H29" s="16" t="inlineStr">
        <is>
          <t>Acceptable among human-scored</t>
        </is>
      </c>
    </row>
    <row r="30">
      <c r="A30" s="17" t="inlineStr">
        <is>
          <t>Astra (Codex)</t>
        </is>
      </c>
      <c r="B30" s="18" t="n">
        <v>48</v>
      </c>
      <c r="C30" s="18" t="n">
        <v>48</v>
      </c>
      <c r="D30" s="18" t="n">
        <v>0</v>
      </c>
      <c r="E30" s="18" t="n">
        <v>48</v>
      </c>
      <c r="F30" s="18" t="n">
        <v>0</v>
      </c>
      <c r="G30" s="18" t="n">
        <v>0</v>
      </c>
      <c r="H30" s="28" t="inlineStr">
        <is>
          <t>30/30</t>
        </is>
      </c>
    </row>
    <row r="31">
      <c r="A31" s="21" t="inlineStr">
        <is>
          <t>Luna (Codex)</t>
        </is>
      </c>
      <c r="B31" s="22" t="n">
        <v>48</v>
      </c>
      <c r="C31" s="22" t="n">
        <v>48</v>
      </c>
      <c r="D31" s="22" t="n">
        <v>0</v>
      </c>
      <c r="E31" s="22" t="n">
        <v>45</v>
      </c>
      <c r="F31" s="22" t="n">
        <v>3</v>
      </c>
      <c r="G31" s="22" t="n">
        <v>0</v>
      </c>
      <c r="H31" s="29" t="inlineStr">
        <is>
          <t>30/30</t>
        </is>
      </c>
    </row>
    <row r="32">
      <c r="A32" s="13" t="inlineStr">
        <is>
          <t>AI-judged results, not human scores. 96/96 outputs valid (J024 re-collected). Source: 23_AI_JUDGE_EXTENSION_PACKAGE parsed_outputs J001 to J096 joined via the private map (aggregated).</t>
        </is>
      </c>
    </row>
    <row r="34">
      <c r="A34" s="5" t="inlineStr">
        <is>
          <t>Chart data</t>
        </is>
      </c>
    </row>
    <row r="35">
      <c r="A35" s="27" t="inlineStr">
        <is>
          <t>Measure</t>
        </is>
      </c>
      <c r="B35" s="27" t="inlineStr">
        <is>
          <t>Reviewers vs researcher</t>
        </is>
      </c>
      <c r="C35" s="27" t="inlineStr">
        <is>
          <t>AI judge vs researcher</t>
        </is>
      </c>
    </row>
    <row r="36">
      <c r="A36" s="27" t="inlineStr">
        <is>
          <t>Acceptable (15 | 60)</t>
        </is>
      </c>
      <c r="B36" s="40" t="n">
        <v>1</v>
      </c>
      <c r="C36" s="40" t="n">
        <v>1</v>
      </c>
    </row>
    <row r="37">
      <c r="A37" s="27" t="inlineStr">
        <is>
          <t>Serious error (15 | 60)</t>
        </is>
      </c>
      <c r="B37" s="40" t="n">
        <v>1</v>
      </c>
      <c r="C37" s="40" t="n">
        <v>1</v>
      </c>
    </row>
    <row r="38">
      <c r="A38" s="27" t="inlineStr">
        <is>
          <t>Criterion correct (53 | 224)</t>
        </is>
      </c>
      <c r="B38" s="40" t="n">
        <v>0.9245283018867925</v>
      </c>
      <c r="C38" s="40" t="n">
        <v>0.9776785714285714</v>
      </c>
    </row>
    <row r="39">
      <c r="A39" s="27" t="inlineStr">
        <is>
          <t>Severity exact (15 | 60)</t>
        </is>
      </c>
      <c r="B39" s="40" t="n">
        <v>0.7333333333333333</v>
      </c>
      <c r="C39" s="40" t="n">
        <v>0.9</v>
      </c>
    </row>
    <row r="58">
      <c r="A58" s="14" t="inlineStr">
        <is>
          <t>Source: reviewer_agreement.json; 23_AI_JUDGE_EXTENSION_PACKAGE/analysis/agreement_with_human.json. Labels show (reviewer n | AI judge n).</t>
        </is>
      </c>
    </row>
  </sheetData>
  <pageMargins left="0.75" right="0.75" top="1" bottom="1" header="0.5" footer="0.5"/>
  <pageSetup orientation="landscape" paperSize="9" fitToHeight="0" fitToWidth="1"/>
  <drawing xmlns:r="http://schemas.openxmlformats.org/officeDocument/2006/relationships" r:id="rId1"/>
</worksheet>
</file>

<file path=xl/worksheets/sheet9.xml><?xml version="1.0" encoding="utf-8"?>
<worksheet xmlns="http://schemas.openxmlformats.org/spreadsheetml/2006/main">
  <sheetPr>
    <tabColor rgb="00D5DAE1"/>
    <outlinePr summaryBelow="1" summaryRight="1"/>
    <pageSetUpPr fitToPage="1"/>
  </sheetPr>
  <dimension ref="A1:I87"/>
  <sheetViews>
    <sheetView showGridLines="0" workbookViewId="0">
      <pane ySplit="3" topLeftCell="A4" activePane="bottomLeft" state="frozen"/>
      <selection pane="bottomLeft" activeCell="A1" sqref="A1"/>
    </sheetView>
  </sheetViews>
  <sheetFormatPr baseColWidth="8" defaultRowHeight="15"/>
  <cols>
    <col width="26" customWidth="1" min="1" max="1"/>
    <col width="13" customWidth="1" min="2" max="2"/>
    <col width="13" customWidth="1" min="3" max="3"/>
    <col width="13" customWidth="1" min="4" max="4"/>
    <col width="13" customWidth="1" min="5" max="5"/>
    <col width="60" customWidth="1" min="6" max="6"/>
    <col width="14" customWidth="1" min="7" max="7"/>
    <col width="14" customWidth="1" min="8" max="8"/>
    <col width="16" customWidth="1" min="9" max="9"/>
  </cols>
  <sheetData>
    <row r="1" ht="24" customHeight="1">
      <c r="A1" s="1" t="inlineStr">
        <is>
          <t>Claude extension: same checks and AI judge on Fable 5.1 and Haiku 4.5</t>
        </is>
      </c>
    </row>
    <row r="2">
      <c r="A2" s="2" t="inlineStr">
        <is>
          <t>Exploratory. Claude answers were not human-scored except 3 AI-flagged answers confirmed afterwards (not blind). AI-judged results are labelled as such.</t>
        </is>
      </c>
    </row>
    <row r="4">
      <c r="A4" s="5" t="inlineStr">
        <is>
          <t>Table 1. Check decisions on all 48 answers per model (24 cases x 2 repetitions)</t>
        </is>
      </c>
    </row>
    <row r="5" ht="30" customHeight="1">
      <c r="A5" s="15" t="inlineStr">
        <is>
          <t>Model</t>
        </is>
      </c>
      <c r="B5" s="16" t="inlineStr">
        <is>
          <t>Released with warning</t>
        </is>
      </c>
      <c r="C5" s="16" t="inlineStr">
        <is>
          <t>Routed to a person</t>
        </is>
      </c>
      <c r="D5" s="16" t="inlineStr">
        <is>
          <t>Blocked</t>
        </is>
      </c>
      <c r="E5" s="16" t="inlineStr">
        <is>
          <t>Answers</t>
        </is>
      </c>
      <c r="F5" s="16" t="inlineStr">
        <is>
          <t>Withheld share</t>
        </is>
      </c>
      <c r="G5" s="16" t="inlineStr">
        <is>
          <t>Quotation fails</t>
        </is>
      </c>
      <c r="H5" s="16" t="inlineStr">
        <is>
          <t>Arithmetic fails (quantity)</t>
        </is>
      </c>
      <c r="I5" s="16" t="inlineStr">
        <is>
          <t>Routing triggered</t>
        </is>
      </c>
    </row>
    <row r="6">
      <c r="A6" s="17" t="inlineStr">
        <is>
          <t>Astra (Codex)</t>
        </is>
      </c>
      <c r="B6" s="18" t="n">
        <v>41</v>
      </c>
      <c r="C6" s="18" t="n">
        <v>5</v>
      </c>
      <c r="D6" s="18" t="n">
        <v>2</v>
      </c>
      <c r="E6" s="18">
        <f>SUM(B6:D6)</f>
        <v>48</v>
      </c>
      <c r="F6" s="19">
        <f>(C6+D6)/E6</f>
        <v>0.14583333333333334</v>
      </c>
      <c r="G6" s="18" t="n">
        <v>2</v>
      </c>
      <c r="H6" s="18" t="n">
        <v>0</v>
      </c>
      <c r="I6" s="18" t="n">
        <v>5</v>
      </c>
    </row>
    <row r="7">
      <c r="A7" s="21" t="inlineStr">
        <is>
          <t>Luna (Codex)</t>
        </is>
      </c>
      <c r="B7" s="22" t="n">
        <v>39</v>
      </c>
      <c r="C7" s="22" t="n">
        <v>6</v>
      </c>
      <c r="D7" s="22" t="n">
        <v>3</v>
      </c>
      <c r="E7" s="22">
        <f>SUM(B7:D7)</f>
        <v>48</v>
      </c>
      <c r="F7" s="23">
        <f>(C7+D7)/E7</f>
        <v>0.1875</v>
      </c>
      <c r="G7" s="22" t="n">
        <v>1</v>
      </c>
      <c r="H7" s="22" t="n">
        <v>4</v>
      </c>
      <c r="I7" s="22" t="n">
        <v>6</v>
      </c>
    </row>
    <row r="8">
      <c r="A8" s="17" t="inlineStr">
        <is>
          <t>Fable 5.1 (Claude)</t>
        </is>
      </c>
      <c r="B8" s="18" t="n">
        <v>38</v>
      </c>
      <c r="C8" s="18" t="n">
        <v>3</v>
      </c>
      <c r="D8" s="18" t="n">
        <v>7</v>
      </c>
      <c r="E8" s="18">
        <f>SUM(B8:D8)</f>
        <v>48</v>
      </c>
      <c r="F8" s="19">
        <f>(C8+D8)/E8</f>
        <v>0.20833333333333334</v>
      </c>
      <c r="G8" s="18" t="n">
        <v>2</v>
      </c>
      <c r="H8" s="18" t="n">
        <v>6</v>
      </c>
      <c r="I8" s="18" t="n">
        <v>4</v>
      </c>
    </row>
    <row r="9">
      <c r="A9" s="21" t="inlineStr">
        <is>
          <t>Haiku 4.5 (Claude)</t>
        </is>
      </c>
      <c r="B9" s="22" t="n">
        <v>37</v>
      </c>
      <c r="C9" s="22" t="n">
        <v>1</v>
      </c>
      <c r="D9" s="22" t="n">
        <v>10</v>
      </c>
      <c r="E9" s="22">
        <f>SUM(B9:D9)</f>
        <v>48</v>
      </c>
      <c r="F9" s="23">
        <f>(C9+D9)/E9</f>
        <v>0.22916666666666666</v>
      </c>
      <c r="G9" s="22" t="n">
        <v>9</v>
      </c>
      <c r="H9" s="22" t="n">
        <v>3</v>
      </c>
      <c r="I9" s="22" t="n">
        <v>3</v>
      </c>
    </row>
    <row r="10">
      <c r="A10" s="13" t="inlineStr">
        <is>
          <t>Source: extension_controls.json by_model; reproduced independently with experiment.safe_gate on private/imported_claude_extension.json (identical counts).</t>
        </is>
      </c>
    </row>
    <row r="12">
      <c r="A12" s="5" t="inlineStr">
        <is>
          <t>Table 2. AI judge on the 48 Claude answers matched to the 12 cases read before the score lock (24 per model)</t>
        </is>
      </c>
    </row>
    <row r="13" ht="30" customHeight="1">
      <c r="A13" s="15" t="inlineStr">
        <is>
          <t>Model</t>
        </is>
      </c>
      <c r="B13" s="16" t="inlineStr">
        <is>
          <t>Answers</t>
        </is>
      </c>
      <c r="C13" s="16" t="inlineStr">
        <is>
          <t>Judge: acceptable</t>
        </is>
      </c>
      <c r="D13" s="16" t="inlineStr">
        <is>
          <t>Judge: not acceptable</t>
        </is>
      </c>
      <c r="E13" s="16" t="inlineStr">
        <is>
          <t>None</t>
        </is>
      </c>
      <c r="F13" s="16" t="inlineStr">
        <is>
          <t>Minor</t>
        </is>
      </c>
      <c r="G13" s="16" t="inlineStr">
        <is>
          <t>Major</t>
        </is>
      </c>
      <c r="H13" s="16" t="inlineStr">
        <is>
          <t>Critical</t>
        </is>
      </c>
      <c r="I13" s="16" t="inlineStr">
        <is>
          <t>Judge acceptable share</t>
        </is>
      </c>
    </row>
    <row r="14">
      <c r="A14" s="17" t="inlineStr">
        <is>
          <t>Fable 5.1 (Claude) (AI-judged)</t>
        </is>
      </c>
      <c r="B14" s="18" t="n">
        <v>24</v>
      </c>
      <c r="C14" s="18" t="n">
        <v>24</v>
      </c>
      <c r="D14" s="18" t="n">
        <v>0</v>
      </c>
      <c r="E14" s="18" t="n">
        <v>22</v>
      </c>
      <c r="F14" s="18" t="n">
        <v>2</v>
      </c>
      <c r="G14" s="18" t="n">
        <v>0</v>
      </c>
      <c r="H14" s="18" t="n">
        <v>0</v>
      </c>
      <c r="I14" s="19">
        <f>C14/B14</f>
        <v>1.0</v>
      </c>
    </row>
    <row r="15">
      <c r="A15" s="21" t="inlineStr">
        <is>
          <t>Haiku 4.5 (Claude) (AI-judged)</t>
        </is>
      </c>
      <c r="B15" s="22" t="n">
        <v>24</v>
      </c>
      <c r="C15" s="22" t="n">
        <v>21</v>
      </c>
      <c r="D15" s="22" t="n">
        <v>3</v>
      </c>
      <c r="E15" s="22" t="n">
        <v>18</v>
      </c>
      <c r="F15" s="22" t="n">
        <v>3</v>
      </c>
      <c r="G15" s="22" t="n">
        <v>2</v>
      </c>
      <c r="H15" s="22" t="n">
        <v>1</v>
      </c>
      <c r="I15" s="23">
        <f>C15/B15</f>
        <v>0.875</v>
      </c>
    </row>
    <row r="16">
      <c r="A16" s="17" t="inlineStr">
        <is>
          <t>Astra (Codex) (AI-judged)</t>
        </is>
      </c>
      <c r="B16" s="18" t="n">
        <v>30</v>
      </c>
      <c r="C16" s="18" t="n">
        <v>30</v>
      </c>
      <c r="D16" s="18" t="n">
        <v>0</v>
      </c>
      <c r="E16" s="18" t="n">
        <v>30</v>
      </c>
      <c r="F16" s="18" t="n">
        <v>0</v>
      </c>
      <c r="G16" s="18" t="n">
        <v>0</v>
      </c>
      <c r="H16" s="18" t="n">
        <v>0</v>
      </c>
      <c r="I16" s="19">
        <f>C16/B16</f>
        <v>1.0</v>
      </c>
    </row>
    <row r="17">
      <c r="A17" s="21" t="inlineStr">
        <is>
          <t>Luna (Codex) (AI-judged)</t>
        </is>
      </c>
      <c r="B17" s="22" t="n">
        <v>30</v>
      </c>
      <c r="C17" s="22" t="n">
        <v>30</v>
      </c>
      <c r="D17" s="22" t="n">
        <v>0</v>
      </c>
      <c r="E17" s="22" t="n">
        <v>29</v>
      </c>
      <c r="F17" s="22" t="n">
        <v>1</v>
      </c>
      <c r="G17" s="22" t="n">
        <v>0</v>
      </c>
      <c r="H17" s="22" t="n">
        <v>0</v>
      </c>
      <c r="I17" s="23">
        <f>C17/B17</f>
        <v>1.0</v>
      </c>
    </row>
    <row r="18">
      <c r="A18" s="13" t="inlineStr">
        <is>
          <t>Same 12 cases for all four models, the cases the Claude judge was given. Astra and Luna rows use the primary AI judge (J) on the answers read in those cases; a person rated every one of them acceptable.</t>
        </is>
      </c>
    </row>
    <row r="20">
      <c r="A20" s="5" t="inlineStr">
        <is>
          <t>Table 3. Human confirmation of the 3 AI-flagged Claude answers, and what the checks did</t>
        </is>
      </c>
    </row>
    <row r="21" ht="30" customHeight="1">
      <c r="A21" s="15" t="inlineStr">
        <is>
          <t>Answer (masked)</t>
        </is>
      </c>
      <c r="B21" s="16" t="inlineStr">
        <is>
          <t>Case</t>
        </is>
      </c>
      <c r="C21" s="16" t="inlineStr">
        <is>
          <t>AI judge: severity / verdict</t>
        </is>
      </c>
      <c r="D21" s="16" t="inlineStr">
        <is>
          <t>Human confirmation</t>
        </is>
      </c>
      <c r="E21" s="16" t="inlineStr">
        <is>
          <t>Checked-route decision</t>
        </is>
      </c>
      <c r="F21" s="16" t="inlineStr">
        <is>
          <t>Check results</t>
        </is>
      </c>
    </row>
    <row r="22">
      <c r="A22" s="28" t="inlineStr">
        <is>
          <t>R117</t>
        </is>
      </c>
      <c r="B22" s="28" t="inlineStr">
        <is>
          <t>W3-02</t>
        </is>
      </c>
      <c r="C22" s="28" t="inlineStr">
        <is>
          <t>Major / not acceptable</t>
        </is>
      </c>
      <c r="D22" s="28" t="inlineStr">
        <is>
          <t>Critical / not acceptable</t>
        </is>
      </c>
      <c r="E22" s="28" t="inlineStr">
        <is>
          <t>Released with warning</t>
        </is>
      </c>
      <c r="F22" s="41" t="inlineStr">
        <is>
          <t>quotation: PASS; arithmetic weighted_score: NOT_APPLICABLE; routing: NOT_TRIGGERED</t>
        </is>
      </c>
    </row>
    <row r="23">
      <c r="A23" s="29" t="inlineStr">
        <is>
          <t>R120</t>
        </is>
      </c>
      <c r="B23" s="29" t="inlineStr">
        <is>
          <t>W3-02</t>
        </is>
      </c>
      <c r="C23" s="29" t="inlineStr">
        <is>
          <t>Major / not acceptable</t>
        </is>
      </c>
      <c r="D23" s="29" t="inlineStr">
        <is>
          <t>Critical / not acceptable</t>
        </is>
      </c>
      <c r="E23" s="29" t="inlineStr">
        <is>
          <t>Released with warning</t>
        </is>
      </c>
      <c r="F23" s="42" t="inlineStr">
        <is>
          <t>quotation: PASS; arithmetic weighted_score: NOT_APPLICABLE; routing: NOT_TRIGGERED</t>
        </is>
      </c>
    </row>
    <row r="24">
      <c r="A24" s="28" t="inlineStr">
        <is>
          <t>R130</t>
        </is>
      </c>
      <c r="B24" s="28" t="inlineStr">
        <is>
          <t>W3-04</t>
        </is>
      </c>
      <c r="C24" s="28" t="inlineStr">
        <is>
          <t>Critical / not acceptable</t>
        </is>
      </c>
      <c r="D24" s="28" t="inlineStr">
        <is>
          <t>None / acceptable</t>
        </is>
      </c>
      <c r="E24" s="28" t="inlineStr">
        <is>
          <t>Blocked</t>
        </is>
      </c>
      <c r="F24" s="41" t="inlineStr">
        <is>
          <t>quotation: FAIL; arithmetic MGA: FAIL; arithmetic course_grade: FAIL; routing: TRIGGERED</t>
        </is>
      </c>
    </row>
    <row r="25">
      <c r="A25" s="13" t="inlineStr">
        <is>
          <t>2 of 2 human-confirmed Critical answers were released by the checks: the arithmetic check could not run (no weighted score reported) and no quotation or routing check fired.</t>
        </is>
      </c>
    </row>
    <row r="26">
      <c r="A26" s="13" t="inlineStr">
        <is>
          <t>Confirmation was scored after the researcher saw the AI judge's view (not blind). The flagged-but-acceptable answer was blocked. Model identity not shown here by design.</t>
        </is>
      </c>
    </row>
    <row r="27">
      <c r="A27" s="13" t="inlineStr">
        <is>
          <t>Source: CONFIRMATION_SCORES_2026-09-18.json; 26_CLAUDE_AI_JUDGE_EXTENSION parsed_outputs; safe_gate reproduction.</t>
        </is>
      </c>
    </row>
    <row r="29">
      <c r="A29" s="5" t="inlineStr">
        <is>
          <t>Table 4. Check decisions on the 12 human-scored cases only (24 answers per model)</t>
        </is>
      </c>
    </row>
    <row r="30" ht="30" customHeight="1">
      <c r="A30" s="15" t="inlineStr">
        <is>
          <t>Model</t>
        </is>
      </c>
      <c r="B30" s="16" t="inlineStr">
        <is>
          <t>Released with warning</t>
        </is>
      </c>
      <c r="C30" s="16" t="inlineStr">
        <is>
          <t>Routed</t>
        </is>
      </c>
      <c r="D30" s="16" t="inlineStr">
        <is>
          <t>Blocked</t>
        </is>
      </c>
      <c r="E30" s="16" t="inlineStr">
        <is>
          <t>Answers</t>
        </is>
      </c>
    </row>
    <row r="31">
      <c r="A31" s="17" t="inlineStr">
        <is>
          <t>Astra (Codex)</t>
        </is>
      </c>
      <c r="B31" s="18" t="n">
        <v>23</v>
      </c>
      <c r="C31" s="18" t="n">
        <v>1</v>
      </c>
      <c r="D31" s="18" t="n">
        <v>0</v>
      </c>
      <c r="E31" s="18">
        <f>SUM(B31:D31)</f>
        <v>24</v>
      </c>
    </row>
    <row r="32">
      <c r="A32" s="21" t="inlineStr">
        <is>
          <t>Luna (Codex)</t>
        </is>
      </c>
      <c r="B32" s="22" t="n">
        <v>19</v>
      </c>
      <c r="C32" s="22" t="n">
        <v>3</v>
      </c>
      <c r="D32" s="22" t="n">
        <v>2</v>
      </c>
      <c r="E32" s="22">
        <f>SUM(B32:D32)</f>
        <v>24</v>
      </c>
    </row>
    <row r="33">
      <c r="A33" s="17" t="inlineStr">
        <is>
          <t>Fable 5.1 (Claude)</t>
        </is>
      </c>
      <c r="B33" s="18" t="n">
        <v>20</v>
      </c>
      <c r="C33" s="18" t="n">
        <v>1</v>
      </c>
      <c r="D33" s="18" t="n">
        <v>3</v>
      </c>
      <c r="E33" s="18">
        <f>SUM(B33:D33)</f>
        <v>24</v>
      </c>
    </row>
    <row r="34">
      <c r="A34" s="21" t="inlineStr">
        <is>
          <t>Haiku 4.5 (Claude)</t>
        </is>
      </c>
      <c r="B34" s="22" t="n">
        <v>17</v>
      </c>
      <c r="C34" s="22" t="n">
        <v>1</v>
      </c>
      <c r="D34" s="22" t="n">
        <v>6</v>
      </c>
      <c r="E34" s="22">
        <f>SUM(B34:D34)</f>
        <v>24</v>
      </c>
    </row>
    <row r="36">
      <c r="A36" s="5" t="inlineStr">
        <is>
          <t>Table 5. Desktop-only sensitivity (drop the case/repetition with a known interface exception; 46 per model)</t>
        </is>
      </c>
    </row>
    <row r="37" ht="30" customHeight="1">
      <c r="A37" s="15" t="inlineStr">
        <is>
          <t>Model</t>
        </is>
      </c>
      <c r="B37" s="16" t="inlineStr">
        <is>
          <t>Released with warning</t>
        </is>
      </c>
      <c r="C37" s="16" t="inlineStr">
        <is>
          <t>Routed</t>
        </is>
      </c>
      <c r="D37" s="16" t="inlineStr">
        <is>
          <t>Blocked</t>
        </is>
      </c>
      <c r="E37" s="16" t="inlineStr">
        <is>
          <t>Answers</t>
        </is>
      </c>
    </row>
    <row r="38">
      <c r="A38" s="17" t="inlineStr">
        <is>
          <t>Astra (Codex)</t>
        </is>
      </c>
      <c r="B38" s="18" t="n">
        <v>40</v>
      </c>
      <c r="C38" s="18" t="n">
        <v>4</v>
      </c>
      <c r="D38" s="18" t="n">
        <v>2</v>
      </c>
      <c r="E38" s="18" t="n">
        <v>46</v>
      </c>
    </row>
    <row r="39">
      <c r="A39" s="21" t="inlineStr">
        <is>
          <t>Luna (Codex)</t>
        </is>
      </c>
      <c r="B39" s="22" t="n">
        <v>38</v>
      </c>
      <c r="C39" s="22" t="n">
        <v>5</v>
      </c>
      <c r="D39" s="22" t="n">
        <v>3</v>
      </c>
      <c r="E39" s="22" t="n">
        <v>46</v>
      </c>
    </row>
    <row r="40">
      <c r="A40" s="17" t="inlineStr">
        <is>
          <t>Fable 5.1 (Claude)</t>
        </is>
      </c>
      <c r="B40" s="18" t="n">
        <v>36</v>
      </c>
      <c r="C40" s="18" t="n">
        <v>3</v>
      </c>
      <c r="D40" s="18" t="n">
        <v>7</v>
      </c>
      <c r="E40" s="18" t="n">
        <v>46</v>
      </c>
    </row>
    <row r="41">
      <c r="A41" s="21" t="inlineStr">
        <is>
          <t>Haiku 4.5 (Claude)</t>
        </is>
      </c>
      <c r="B41" s="22" t="n">
        <v>36</v>
      </c>
      <c r="C41" s="22" t="n">
        <v>1</v>
      </c>
      <c r="D41" s="22" t="n">
        <v>9</v>
      </c>
      <c r="E41" s="22" t="n">
        <v>46</v>
      </c>
    </row>
    <row r="44">
      <c r="A44" s="5" t="inlineStr">
        <is>
          <t>Chart data</t>
        </is>
      </c>
    </row>
    <row r="45">
      <c r="A45" s="27" t="inlineStr">
        <is>
          <t>Model</t>
        </is>
      </c>
      <c r="B45" s="27" t="inlineStr">
        <is>
          <t>Released with warning</t>
        </is>
      </c>
      <c r="C45" s="27" t="inlineStr">
        <is>
          <t>Routed to a person</t>
        </is>
      </c>
      <c r="D45" s="27" t="inlineStr">
        <is>
          <t>Blocked</t>
        </is>
      </c>
      <c r="F45" s="27" t="inlineStr">
        <is>
          <t>Model</t>
        </is>
      </c>
      <c r="G45" s="27" t="inlineStr">
        <is>
          <t>Judge: acceptable</t>
        </is>
      </c>
      <c r="H45" s="27" t="inlineStr">
        <is>
          <t>Judge: not acceptable</t>
        </is>
      </c>
    </row>
    <row r="46">
      <c r="A46" s="27" t="inlineStr">
        <is>
          <t>Astra (Codex)</t>
        </is>
      </c>
      <c r="B46" s="27" t="n">
        <v>41</v>
      </c>
      <c r="C46" s="27" t="n">
        <v>5</v>
      </c>
      <c r="D46" s="27" t="n">
        <v>2</v>
      </c>
      <c r="F46" s="27" t="inlineStr">
        <is>
          <t>Astra (Codex)</t>
        </is>
      </c>
      <c r="G46" s="27" t="n">
        <v>30</v>
      </c>
      <c r="H46" s="27" t="n">
        <v>0</v>
      </c>
    </row>
    <row r="47">
      <c r="A47" s="27" t="inlineStr">
        <is>
          <t>Luna (Codex)</t>
        </is>
      </c>
      <c r="B47" s="27" t="n">
        <v>39</v>
      </c>
      <c r="C47" s="27" t="n">
        <v>6</v>
      </c>
      <c r="D47" s="27" t="n">
        <v>3</v>
      </c>
      <c r="F47" s="27" t="inlineStr">
        <is>
          <t>Luna (Codex)</t>
        </is>
      </c>
      <c r="G47" s="27" t="n">
        <v>30</v>
      </c>
      <c r="H47" s="27" t="n">
        <v>0</v>
      </c>
    </row>
    <row r="48">
      <c r="A48" s="27" t="inlineStr">
        <is>
          <t>Fable 5.1 (Claude)</t>
        </is>
      </c>
      <c r="B48" s="27" t="n">
        <v>38</v>
      </c>
      <c r="C48" s="27" t="n">
        <v>3</v>
      </c>
      <c r="D48" s="27" t="n">
        <v>7</v>
      </c>
      <c r="F48" s="27" t="inlineStr">
        <is>
          <t>Fable 5.1 (Claude)</t>
        </is>
      </c>
      <c r="G48" s="27" t="n">
        <v>24</v>
      </c>
      <c r="H48" s="27" t="n">
        <v>0</v>
      </c>
    </row>
    <row r="49">
      <c r="A49" s="27" t="inlineStr">
        <is>
          <t>Haiku 4.5 (Claude)</t>
        </is>
      </c>
      <c r="B49" s="27" t="n">
        <v>37</v>
      </c>
      <c r="C49" s="27" t="n">
        <v>1</v>
      </c>
      <c r="D49" s="27" t="n">
        <v>10</v>
      </c>
      <c r="F49" s="27" t="inlineStr">
        <is>
          <t>Haiku 4.5 (Claude)</t>
        </is>
      </c>
      <c r="G49" s="27" t="n">
        <v>21</v>
      </c>
      <c r="H49" s="27" t="n">
        <v>3</v>
      </c>
    </row>
    <row r="68">
      <c r="A68" s="14" t="inlineStr">
        <is>
          <t>Source: extension_controls.json by_model (frozen checks applied to all 48 answers per model).</t>
        </is>
      </c>
    </row>
    <row r="87">
      <c r="A87" s="14" t="inlineStr">
        <is>
          <t>Source: AI-judged: 23_AI_JUDGE_EXTENSION_PACKAGE (Astra, Luna) and 26_CLAUDE_AI_JUDGE_EXTENSION (Fable, Haiku); DeepSeek V4 Pro judge, same prompt.</t>
        </is>
      </c>
    </row>
  </sheetData>
  <pageMargins left="0.75" right="0.75" top="1" bottom="1" header="0.5" footer="0.5"/>
  <pageSetup orientation="landscape" paperSize="9" fitToHeight="0" fitToWidth="1"/>
  <drawing xmlns:r="http://schemas.openxmlformats.org/officeDocument/2006/relationships" r:id="rId1"/>
</worksheet>
</file>

<file path=xl/worksheets/sheet10.xml><?xml version="1.0" encoding="utf-8"?>
<worksheet xmlns="http://schemas.openxmlformats.org/spreadsheetml/2006/main">
  <sheetPr>
    <tabColor rgb="00D5DAE1"/>
    <outlinePr summaryBelow="1" summaryRight="1"/>
    <pageSetUpPr fitToPage="1"/>
  </sheetPr>
  <dimension ref="A1:N128"/>
  <sheetViews>
    <sheetView showGridLines="0" workbookViewId="0">
      <pane ySplit="5" topLeftCell="A6" activePane="bottomLeft" state="frozen"/>
      <selection pane="bottomLeft" activeCell="A1" sqref="A1"/>
    </sheetView>
  </sheetViews>
  <sheetFormatPr baseColWidth="8" defaultRowHeight="15"/>
  <cols>
    <col width="10" customWidth="1" min="1" max="1"/>
    <col width="10" customWidth="1" min="2" max="2"/>
    <col width="12" customWidth="1" min="3" max="3"/>
    <col width="22" customWidth="1" min="4" max="4"/>
    <col width="30" customWidth="1" min="5" max="5"/>
    <col width="13" customWidth="1" min="6" max="6"/>
    <col width="12" customWidth="1" min="7" max="7"/>
    <col width="12" customWidth="1" min="8" max="8"/>
    <col width="12" customWidth="1" min="9" max="9"/>
    <col width="11" customWidth="1" min="10" max="10"/>
    <col width="11" customWidth="1" min="11" max="11"/>
    <col width="11" customWidth="1" min="12" max="12"/>
    <col width="11" customWidth="1" min="13" max="13"/>
    <col width="11" customWidth="1" min="14" max="14"/>
  </cols>
  <sheetData>
    <row r="1" ht="24" customHeight="1">
      <c r="A1" s="1" t="inlineStr">
        <is>
          <t>Document-evidence extension: frozen excerpt vs whole retained document</t>
        </is>
      </c>
    </row>
    <row r="2">
      <c r="A2" s="2" t="inlineStr">
        <is>
          <t>Gemini 3.1 Pro Preview and Kimi K3 via OpenRouter, 6 human-scored cases x 2 conditions (12 runs each). Answers not substantively scored.</t>
        </is>
      </c>
    </row>
    <row r="4">
      <c r="A4" s="5" t="inlineStr">
        <is>
          <t>Table 1. Per run</t>
        </is>
      </c>
    </row>
    <row r="5" ht="30" customHeight="1">
      <c r="A5" s="15" t="inlineStr">
        <is>
          <t>Case</t>
        </is>
      </c>
      <c r="B5" s="16" t="inlineStr">
        <is>
          <t>Workflow</t>
        </is>
      </c>
      <c r="C5" s="16" t="inlineStr">
        <is>
          <t>Evidence</t>
        </is>
      </c>
      <c r="D5" s="16" t="inlineStr">
        <is>
          <t>Model</t>
        </is>
      </c>
      <c r="E5" s="16" t="inlineStr">
        <is>
          <t>Model ID used</t>
        </is>
      </c>
      <c r="F5" s="16" t="inlineStr">
        <is>
          <t>Provider</t>
        </is>
      </c>
      <c r="G5" s="16" t="inlineStr">
        <is>
          <t>Input tokens</t>
        </is>
      </c>
      <c r="H5" s="16" t="inlineStr">
        <is>
          <t>Output tokens</t>
        </is>
      </c>
      <c r="I5" s="16" t="inlineStr">
        <is>
          <t>Reasoning tokens</t>
        </is>
      </c>
      <c r="J5" s="16" t="inlineStr">
        <is>
          <t>Latency (s)</t>
        </is>
      </c>
      <c r="K5" s="16" t="inlineStr">
        <is>
          <t>Cost (US$)</t>
        </is>
      </c>
      <c r="L5" s="16" t="inlineStr">
        <is>
          <t>Quotations</t>
        </is>
      </c>
      <c r="M5" s="16" t="inlineStr">
        <is>
          <t>Found word for word</t>
        </is>
      </c>
      <c r="N5" s="16" t="inlineStr">
        <is>
          <t>Share found</t>
        </is>
      </c>
    </row>
    <row r="6">
      <c r="A6" s="28" t="inlineStr">
        <is>
          <t>W1-03</t>
        </is>
      </c>
      <c r="B6" s="28" t="inlineStr">
        <is>
          <t>W1</t>
        </is>
      </c>
      <c r="C6" s="28" t="inlineStr">
        <is>
          <t>Excerpt</t>
        </is>
      </c>
      <c r="D6" s="28" t="inlineStr">
        <is>
          <t>Gemini 3.1 Pro Preview</t>
        </is>
      </c>
      <c r="E6" s="28" t="inlineStr">
        <is>
          <t>google/gemini-3.1-pro-preview</t>
        </is>
      </c>
      <c r="F6" s="28" t="inlineStr">
        <is>
          <t>Google</t>
        </is>
      </c>
      <c r="G6" s="18" t="n">
        <v>963</v>
      </c>
      <c r="H6" s="18" t="n">
        <v>2568</v>
      </c>
      <c r="I6" s="18" t="n">
        <v>1758</v>
      </c>
      <c r="J6" s="43" t="n">
        <v>19.2</v>
      </c>
      <c r="K6" s="44" t="n">
        <v>0.032742</v>
      </c>
      <c r="L6" s="18" t="n">
        <v>5</v>
      </c>
      <c r="M6" s="18" t="n">
        <v>5</v>
      </c>
      <c r="N6" s="19">
        <f>M6/L6</f>
        <v>1.0</v>
      </c>
    </row>
    <row r="7">
      <c r="A7" s="29" t="inlineStr">
        <is>
          <t>W1-03</t>
        </is>
      </c>
      <c r="B7" s="29" t="inlineStr">
        <is>
          <t>W1</t>
        </is>
      </c>
      <c r="C7" s="29" t="inlineStr">
        <is>
          <t>Full text</t>
        </is>
      </c>
      <c r="D7" s="29" t="inlineStr">
        <is>
          <t>Gemini 3.1 Pro Preview</t>
        </is>
      </c>
      <c r="E7" s="29" t="inlineStr">
        <is>
          <t>google/gemini-3.1-pro-preview</t>
        </is>
      </c>
      <c r="F7" s="29" t="inlineStr">
        <is>
          <t>Google</t>
        </is>
      </c>
      <c r="G7" s="22" t="n">
        <v>55399</v>
      </c>
      <c r="H7" s="22" t="n">
        <v>3300</v>
      </c>
      <c r="I7" s="22" t="n">
        <v>2265</v>
      </c>
      <c r="J7" s="45" t="n">
        <v>30.1</v>
      </c>
      <c r="K7" s="46" t="n">
        <v>0.150398</v>
      </c>
      <c r="L7" s="22" t="n">
        <v>5</v>
      </c>
      <c r="M7" s="22" t="n">
        <v>5</v>
      </c>
      <c r="N7" s="23">
        <f>M7/L7</f>
        <v>1.0</v>
      </c>
    </row>
    <row r="8">
      <c r="A8" s="28" t="inlineStr">
        <is>
          <t>W1-03</t>
        </is>
      </c>
      <c r="B8" s="28" t="inlineStr">
        <is>
          <t>W1</t>
        </is>
      </c>
      <c r="C8" s="28" t="inlineStr">
        <is>
          <t>Excerpt</t>
        </is>
      </c>
      <c r="D8" s="28" t="inlineStr">
        <is>
          <t>Kimi K3</t>
        </is>
      </c>
      <c r="E8" s="28" t="inlineStr">
        <is>
          <t>moonshotai/kimi-k3</t>
        </is>
      </c>
      <c r="F8" s="28" t="inlineStr">
        <is>
          <t>InferenceNet</t>
        </is>
      </c>
      <c r="G8" s="18" t="n">
        <v>993</v>
      </c>
      <c r="H8" s="18" t="n">
        <v>3581</v>
      </c>
      <c r="I8" s="18" t="n">
        <v>2501</v>
      </c>
      <c r="J8" s="43" t="n">
        <v>109.7</v>
      </c>
      <c r="K8" s="44" t="n">
        <v>0.04129725</v>
      </c>
      <c r="L8" s="18" t="n">
        <v>5</v>
      </c>
      <c r="M8" s="18" t="n">
        <v>5</v>
      </c>
      <c r="N8" s="19">
        <f>M8/L8</f>
        <v>1.0</v>
      </c>
    </row>
    <row r="9">
      <c r="A9" s="29" t="inlineStr">
        <is>
          <t>W1-03</t>
        </is>
      </c>
      <c r="B9" s="29" t="inlineStr">
        <is>
          <t>W1</t>
        </is>
      </c>
      <c r="C9" s="29" t="inlineStr">
        <is>
          <t>Full text</t>
        </is>
      </c>
      <c r="D9" s="29" t="inlineStr">
        <is>
          <t>Kimi K3</t>
        </is>
      </c>
      <c r="E9" s="29" t="inlineStr">
        <is>
          <t>moonshotai/kimi-k3</t>
        </is>
      </c>
      <c r="F9" s="29" t="inlineStr">
        <is>
          <t>InferenceNet</t>
        </is>
      </c>
      <c r="G9" s="22" t="n">
        <v>53812</v>
      </c>
      <c r="H9" s="22" t="n">
        <v>7035</v>
      </c>
      <c r="I9" s="22" t="n">
        <v>5848</v>
      </c>
      <c r="J9" s="45" t="n">
        <v>273.7</v>
      </c>
      <c r="K9" s="46" t="n">
        <v>0.19003845</v>
      </c>
      <c r="L9" s="22" t="n">
        <v>8</v>
      </c>
      <c r="M9" s="22" t="n">
        <v>8</v>
      </c>
      <c r="N9" s="23">
        <f>M9/L9</f>
        <v>1.0</v>
      </c>
    </row>
    <row r="10">
      <c r="A10" s="28" t="inlineStr">
        <is>
          <t>W1-06</t>
        </is>
      </c>
      <c r="B10" s="28" t="inlineStr">
        <is>
          <t>W1</t>
        </is>
      </c>
      <c r="C10" s="28" t="inlineStr">
        <is>
          <t>Excerpt</t>
        </is>
      </c>
      <c r="D10" s="28" t="inlineStr">
        <is>
          <t>Gemini 3.1 Pro Preview</t>
        </is>
      </c>
      <c r="E10" s="28" t="inlineStr">
        <is>
          <t>google/gemini-3.1-pro-preview</t>
        </is>
      </c>
      <c r="F10" s="28" t="inlineStr">
        <is>
          <t>Google</t>
        </is>
      </c>
      <c r="G10" s="18" t="n">
        <v>856</v>
      </c>
      <c r="H10" s="18" t="n">
        <v>1751</v>
      </c>
      <c r="I10" s="18" t="n">
        <v>1338</v>
      </c>
      <c r="J10" s="43" t="n">
        <v>15.2</v>
      </c>
      <c r="K10" s="44" t="n">
        <v>0.022724</v>
      </c>
      <c r="L10" s="18" t="n">
        <v>1</v>
      </c>
      <c r="M10" s="18" t="n">
        <v>1</v>
      </c>
      <c r="N10" s="19">
        <f>M10/L10</f>
        <v>1.0</v>
      </c>
    </row>
    <row r="11">
      <c r="A11" s="29" t="inlineStr">
        <is>
          <t>W1-06</t>
        </is>
      </c>
      <c r="B11" s="29" t="inlineStr">
        <is>
          <t>W1</t>
        </is>
      </c>
      <c r="C11" s="29" t="inlineStr">
        <is>
          <t>Full text</t>
        </is>
      </c>
      <c r="D11" s="29" t="inlineStr">
        <is>
          <t>Gemini 3.1 Pro Preview</t>
        </is>
      </c>
      <c r="E11" s="29" t="inlineStr">
        <is>
          <t>google/gemini-3.1-pro-preview</t>
        </is>
      </c>
      <c r="F11" s="29" t="inlineStr">
        <is>
          <t>Google</t>
        </is>
      </c>
      <c r="G11" s="22" t="n">
        <v>5541</v>
      </c>
      <c r="H11" s="22" t="n">
        <v>1971</v>
      </c>
      <c r="I11" s="22" t="n">
        <v>1563</v>
      </c>
      <c r="J11" s="45" t="n">
        <v>15.5</v>
      </c>
      <c r="K11" s="46" t="n">
        <v>0.034734</v>
      </c>
      <c r="L11" s="22" t="n">
        <v>1</v>
      </c>
      <c r="M11" s="22" t="n">
        <v>1</v>
      </c>
      <c r="N11" s="23">
        <f>M11/L11</f>
        <v>1.0</v>
      </c>
    </row>
    <row r="12">
      <c r="A12" s="28" t="inlineStr">
        <is>
          <t>W1-06</t>
        </is>
      </c>
      <c r="B12" s="28" t="inlineStr">
        <is>
          <t>W1</t>
        </is>
      </c>
      <c r="C12" s="28" t="inlineStr">
        <is>
          <t>Excerpt</t>
        </is>
      </c>
      <c r="D12" s="28" t="inlineStr">
        <is>
          <t>Kimi K3</t>
        </is>
      </c>
      <c r="E12" s="28" t="inlineStr">
        <is>
          <t>moonshotai/kimi-k3</t>
        </is>
      </c>
      <c r="F12" s="28" t="inlineStr">
        <is>
          <t>InferenceNet</t>
        </is>
      </c>
      <c r="G12" s="18" t="n">
        <v>880</v>
      </c>
      <c r="H12" s="18" t="n">
        <v>3127</v>
      </c>
      <c r="I12" s="18" t="n">
        <v>2463</v>
      </c>
      <c r="J12" s="43" t="n">
        <v>110</v>
      </c>
      <c r="K12" s="44" t="n">
        <v>0.03608865</v>
      </c>
      <c r="L12" s="18" t="n">
        <v>2</v>
      </c>
      <c r="M12" s="18" t="n">
        <v>2</v>
      </c>
      <c r="N12" s="19">
        <f>M12/L12</f>
        <v>1.0</v>
      </c>
    </row>
    <row r="13">
      <c r="A13" s="29" t="inlineStr">
        <is>
          <t>W1-06</t>
        </is>
      </c>
      <c r="B13" s="29" t="inlineStr">
        <is>
          <t>W1</t>
        </is>
      </c>
      <c r="C13" s="29" t="inlineStr">
        <is>
          <t>Full text</t>
        </is>
      </c>
      <c r="D13" s="29" t="inlineStr">
        <is>
          <t>Kimi K3</t>
        </is>
      </c>
      <c r="E13" s="29" t="inlineStr">
        <is>
          <t>moonshotai/kimi-k3</t>
        </is>
      </c>
      <c r="F13" s="29" t="inlineStr">
        <is>
          <t>InferenceNet</t>
        </is>
      </c>
      <c r="G13" s="22" t="n">
        <v>5425</v>
      </c>
      <c r="H13" s="22" t="n">
        <v>6003</v>
      </c>
      <c r="I13" s="22" t="n">
        <v>5670</v>
      </c>
      <c r="J13" s="45" t="n">
        <v>319.6</v>
      </c>
      <c r="K13" s="46" t="n">
        <v>0.07712535</v>
      </c>
      <c r="L13" s="22" t="n">
        <v>5</v>
      </c>
      <c r="M13" s="22" t="n">
        <v>5</v>
      </c>
      <c r="N13" s="23">
        <f>M13/L13</f>
        <v>1.0</v>
      </c>
    </row>
    <row r="14">
      <c r="A14" s="28" t="inlineStr">
        <is>
          <t>W2-03</t>
        </is>
      </c>
      <c r="B14" s="28" t="inlineStr">
        <is>
          <t>W2</t>
        </is>
      </c>
      <c r="C14" s="28" t="inlineStr">
        <is>
          <t>Excerpt</t>
        </is>
      </c>
      <c r="D14" s="28" t="inlineStr">
        <is>
          <t>Gemini 3.1 Pro Preview</t>
        </is>
      </c>
      <c r="E14" s="28" t="inlineStr">
        <is>
          <t>google/gemini-3.1-pro-preview</t>
        </is>
      </c>
      <c r="F14" s="28" t="inlineStr">
        <is>
          <t>Google</t>
        </is>
      </c>
      <c r="G14" s="18" t="n">
        <v>1035</v>
      </c>
      <c r="H14" s="18" t="n">
        <v>2406</v>
      </c>
      <c r="I14" s="18" t="n">
        <v>1851</v>
      </c>
      <c r="J14" s="43" t="n">
        <v>16.8</v>
      </c>
      <c r="K14" s="44" t="n">
        <v>0.030942</v>
      </c>
      <c r="L14" s="18" t="n">
        <v>4</v>
      </c>
      <c r="M14" s="18" t="n">
        <v>4</v>
      </c>
      <c r="N14" s="19">
        <f>M14/L14</f>
        <v>1.0</v>
      </c>
    </row>
    <row r="15">
      <c r="A15" s="29" t="inlineStr">
        <is>
          <t>W2-03</t>
        </is>
      </c>
      <c r="B15" s="29" t="inlineStr">
        <is>
          <t>W2</t>
        </is>
      </c>
      <c r="C15" s="29" t="inlineStr">
        <is>
          <t>Full text</t>
        </is>
      </c>
      <c r="D15" s="29" t="inlineStr">
        <is>
          <t>Gemini 3.1 Pro Preview</t>
        </is>
      </c>
      <c r="E15" s="29" t="inlineStr">
        <is>
          <t>google/gemini-3.1-pro-preview</t>
        </is>
      </c>
      <c r="F15" s="29" t="inlineStr">
        <is>
          <t>Google</t>
        </is>
      </c>
      <c r="G15" s="22" t="n">
        <v>10930</v>
      </c>
      <c r="H15" s="22" t="n">
        <v>1818</v>
      </c>
      <c r="I15" s="22" t="n">
        <v>1169</v>
      </c>
      <c r="J15" s="45" t="n">
        <v>13.4</v>
      </c>
      <c r="K15" s="46" t="n">
        <v>0.043676</v>
      </c>
      <c r="L15" s="22" t="n">
        <v>4</v>
      </c>
      <c r="M15" s="22" t="n">
        <v>4</v>
      </c>
      <c r="N15" s="23">
        <f>M15/L15</f>
        <v>1.0</v>
      </c>
    </row>
    <row r="16">
      <c r="A16" s="28" t="inlineStr">
        <is>
          <t>W2-03</t>
        </is>
      </c>
      <c r="B16" s="28" t="inlineStr">
        <is>
          <t>W2</t>
        </is>
      </c>
      <c r="C16" s="28" t="inlineStr">
        <is>
          <t>Excerpt</t>
        </is>
      </c>
      <c r="D16" s="28" t="inlineStr">
        <is>
          <t>Kimi K3</t>
        </is>
      </c>
      <c r="E16" s="28" t="inlineStr">
        <is>
          <t>moonshotai/kimi-k3</t>
        </is>
      </c>
      <c r="F16" s="28" t="inlineStr">
        <is>
          <t>InferenceNet</t>
        </is>
      </c>
      <c r="G16" s="18" t="n">
        <v>1079</v>
      </c>
      <c r="H16" s="18" t="n">
        <v>3927</v>
      </c>
      <c r="I16" s="18" t="n">
        <v>3749</v>
      </c>
      <c r="J16" s="43" t="n">
        <v>114.8</v>
      </c>
      <c r="K16" s="44" t="n">
        <v>0.04526655</v>
      </c>
      <c r="L16" s="18" t="n">
        <v>7</v>
      </c>
      <c r="M16" s="18" t="n">
        <v>7</v>
      </c>
      <c r="N16" s="19">
        <f>M16/L16</f>
        <v>1.0</v>
      </c>
    </row>
    <row r="17">
      <c r="A17" s="29" t="inlineStr">
        <is>
          <t>W2-03</t>
        </is>
      </c>
      <c r="B17" s="29" t="inlineStr">
        <is>
          <t>W2</t>
        </is>
      </c>
      <c r="C17" s="29" t="inlineStr">
        <is>
          <t>Full text</t>
        </is>
      </c>
      <c r="D17" s="29" t="inlineStr">
        <is>
          <t>Kimi K3</t>
        </is>
      </c>
      <c r="E17" s="29" t="inlineStr">
        <is>
          <t>moonshotai/kimi-k3</t>
        </is>
      </c>
      <c r="F17" s="29" t="inlineStr">
        <is>
          <t>InferenceNet</t>
        </is>
      </c>
      <c r="G17" s="22" t="n">
        <v>10620</v>
      </c>
      <c r="H17" s="22" t="n">
        <v>3911</v>
      </c>
      <c r="I17" s="22" t="n">
        <v>3221</v>
      </c>
      <c r="J17" s="45" t="n">
        <v>134.1</v>
      </c>
      <c r="K17" s="46" t="n">
        <v>0.06512745</v>
      </c>
      <c r="L17" s="22" t="n">
        <v>10</v>
      </c>
      <c r="M17" s="22" t="n">
        <v>10</v>
      </c>
      <c r="N17" s="23">
        <f>M17/L17</f>
        <v>1.0</v>
      </c>
    </row>
    <row r="18">
      <c r="A18" s="28" t="inlineStr">
        <is>
          <t>W2-07</t>
        </is>
      </c>
      <c r="B18" s="28" t="inlineStr">
        <is>
          <t>W2</t>
        </is>
      </c>
      <c r="C18" s="28" t="inlineStr">
        <is>
          <t>Excerpt</t>
        </is>
      </c>
      <c r="D18" s="28" t="inlineStr">
        <is>
          <t>Gemini 3.1 Pro Preview</t>
        </is>
      </c>
      <c r="E18" s="28" t="inlineStr">
        <is>
          <t>google/gemini-3.1-pro-preview</t>
        </is>
      </c>
      <c r="F18" s="28" t="inlineStr">
        <is>
          <t>Google</t>
        </is>
      </c>
      <c r="G18" s="18" t="n">
        <v>1276</v>
      </c>
      <c r="H18" s="18" t="n">
        <v>2823</v>
      </c>
      <c r="I18" s="18" t="n">
        <v>1962</v>
      </c>
      <c r="J18" s="43" t="n">
        <v>19.2</v>
      </c>
      <c r="K18" s="44" t="n">
        <v>0.036428</v>
      </c>
      <c r="L18" s="18" t="n">
        <v>6</v>
      </c>
      <c r="M18" s="18" t="n">
        <v>6</v>
      </c>
      <c r="N18" s="19">
        <f>M18/L18</f>
        <v>1.0</v>
      </c>
    </row>
    <row r="19">
      <c r="A19" s="29" t="inlineStr">
        <is>
          <t>W2-07</t>
        </is>
      </c>
      <c r="B19" s="29" t="inlineStr">
        <is>
          <t>W2</t>
        </is>
      </c>
      <c r="C19" s="29" t="inlineStr">
        <is>
          <t>Full text</t>
        </is>
      </c>
      <c r="D19" s="29" t="inlineStr">
        <is>
          <t>Gemini 3.1 Pro Preview</t>
        </is>
      </c>
      <c r="E19" s="29" t="inlineStr">
        <is>
          <t>google/gemini-3.1-pro-preview</t>
        </is>
      </c>
      <c r="F19" s="29" t="inlineStr">
        <is>
          <t>Google</t>
        </is>
      </c>
      <c r="G19" s="22" t="n">
        <v>8637</v>
      </c>
      <c r="H19" s="22" t="n">
        <v>2932</v>
      </c>
      <c r="I19" s="22" t="n">
        <v>2211</v>
      </c>
      <c r="J19" s="45" t="n">
        <v>21.3</v>
      </c>
      <c r="K19" s="46" t="n">
        <v>0.052458</v>
      </c>
      <c r="L19" s="22" t="n">
        <v>6</v>
      </c>
      <c r="M19" s="22" t="n">
        <v>6</v>
      </c>
      <c r="N19" s="23">
        <f>M19/L19</f>
        <v>1.0</v>
      </c>
    </row>
    <row r="20">
      <c r="A20" s="28" t="inlineStr">
        <is>
          <t>W2-07</t>
        </is>
      </c>
      <c r="B20" s="28" t="inlineStr">
        <is>
          <t>W2</t>
        </is>
      </c>
      <c r="C20" s="28" t="inlineStr">
        <is>
          <t>Excerpt</t>
        </is>
      </c>
      <c r="D20" s="28" t="inlineStr">
        <is>
          <t>Kimi K3</t>
        </is>
      </c>
      <c r="E20" s="28" t="inlineStr">
        <is>
          <t>moonshotai/kimi-k3</t>
        </is>
      </c>
      <c r="F20" s="28" t="inlineStr">
        <is>
          <t>Morph</t>
        </is>
      </c>
      <c r="G20" s="18" t="n">
        <v>1318</v>
      </c>
      <c r="H20" s="18" t="n">
        <v>5019</v>
      </c>
      <c r="I20" s="18" t="n">
        <v>3710</v>
      </c>
      <c r="J20" s="43" t="n">
        <v>328.4</v>
      </c>
      <c r="K20" s="44" t="n">
        <v>0.0588488</v>
      </c>
      <c r="L20" s="18" t="n">
        <v>7</v>
      </c>
      <c r="M20" s="18" t="n">
        <v>7</v>
      </c>
      <c r="N20" s="19">
        <f>M20/L20</f>
        <v>1.0</v>
      </c>
    </row>
    <row r="21">
      <c r="A21" s="29" t="inlineStr">
        <is>
          <t>W2-07</t>
        </is>
      </c>
      <c r="B21" s="29" t="inlineStr">
        <is>
          <t>W2</t>
        </is>
      </c>
      <c r="C21" s="29" t="inlineStr">
        <is>
          <t>Full text</t>
        </is>
      </c>
      <c r="D21" s="29" t="inlineStr">
        <is>
          <t>Kimi K3</t>
        </is>
      </c>
      <c r="E21" s="29" t="inlineStr">
        <is>
          <t>moonshotai/kimi-k3</t>
        </is>
      </c>
      <c r="F21" s="29" t="inlineStr">
        <is>
          <t>Morph</t>
        </is>
      </c>
      <c r="G21" s="22" t="n">
        <v>8487</v>
      </c>
      <c r="H21" s="22" t="n">
        <v>4493</v>
      </c>
      <c r="I21" s="22" t="n">
        <v>2941</v>
      </c>
      <c r="J21" s="45" t="n">
        <v>276</v>
      </c>
      <c r="K21" s="46" t="n">
        <v>0.0672956</v>
      </c>
      <c r="L21" s="22" t="n">
        <v>9</v>
      </c>
      <c r="M21" s="22" t="n">
        <v>9</v>
      </c>
      <c r="N21" s="23">
        <f>M21/L21</f>
        <v>1.0</v>
      </c>
    </row>
    <row r="22">
      <c r="A22" s="28" t="inlineStr">
        <is>
          <t>W3-02</t>
        </is>
      </c>
      <c r="B22" s="28" t="inlineStr">
        <is>
          <t>W3</t>
        </is>
      </c>
      <c r="C22" s="28" t="inlineStr">
        <is>
          <t>Excerpt</t>
        </is>
      </c>
      <c r="D22" s="28" t="inlineStr">
        <is>
          <t>Gemini 3.1 Pro Preview</t>
        </is>
      </c>
      <c r="E22" s="28" t="inlineStr">
        <is>
          <t>google/gemini-3.1-pro-preview</t>
        </is>
      </c>
      <c r="F22" s="28" t="inlineStr">
        <is>
          <t>Google</t>
        </is>
      </c>
      <c r="G22" s="18" t="n">
        <v>1618</v>
      </c>
      <c r="H22" s="18" t="n">
        <v>2991</v>
      </c>
      <c r="I22" s="18" t="n">
        <v>2279</v>
      </c>
      <c r="J22" s="43" t="n">
        <v>20.8</v>
      </c>
      <c r="K22" s="44" t="n">
        <v>0.039128</v>
      </c>
      <c r="L22" s="18" t="n">
        <v>4</v>
      </c>
      <c r="M22" s="18" t="n">
        <v>4</v>
      </c>
      <c r="N22" s="19">
        <f>M22/L22</f>
        <v>1.0</v>
      </c>
    </row>
    <row r="23">
      <c r="A23" s="29" t="inlineStr">
        <is>
          <t>W3-02</t>
        </is>
      </c>
      <c r="B23" s="29" t="inlineStr">
        <is>
          <t>W3</t>
        </is>
      </c>
      <c r="C23" s="29" t="inlineStr">
        <is>
          <t>Full text</t>
        </is>
      </c>
      <c r="D23" s="29" t="inlineStr">
        <is>
          <t>Gemini 3.1 Pro Preview</t>
        </is>
      </c>
      <c r="E23" s="29" t="inlineStr">
        <is>
          <t>google/gemini-3.1-pro-preview</t>
        </is>
      </c>
      <c r="F23" s="29" t="inlineStr">
        <is>
          <t>Google</t>
        </is>
      </c>
      <c r="G23" s="22" t="n">
        <v>80294</v>
      </c>
      <c r="H23" s="22" t="n">
        <v>5099</v>
      </c>
      <c r="I23" s="22" t="n">
        <v>4599</v>
      </c>
      <c r="J23" s="45" t="n">
        <v>57.6</v>
      </c>
      <c r="K23" s="46" t="n">
        <v>0.221776</v>
      </c>
      <c r="L23" s="22" t="n">
        <v>2</v>
      </c>
      <c r="M23" s="22" t="n">
        <v>2</v>
      </c>
      <c r="N23" s="23">
        <f>M23/L23</f>
        <v>1.0</v>
      </c>
    </row>
    <row r="24">
      <c r="A24" s="28" t="inlineStr">
        <is>
          <t>W3-02</t>
        </is>
      </c>
      <c r="B24" s="28" t="inlineStr">
        <is>
          <t>W3</t>
        </is>
      </c>
      <c r="C24" s="28" t="inlineStr">
        <is>
          <t>Excerpt</t>
        </is>
      </c>
      <c r="D24" s="28" t="inlineStr">
        <is>
          <t>Kimi K3</t>
        </is>
      </c>
      <c r="E24" s="28" t="inlineStr">
        <is>
          <t>moonshotai/kimi-k3</t>
        </is>
      </c>
      <c r="F24" s="28" t="inlineStr">
        <is>
          <t>InferenceNet</t>
        </is>
      </c>
      <c r="G24" s="18" t="n">
        <v>1561</v>
      </c>
      <c r="H24" s="18" t="n">
        <v>6115</v>
      </c>
      <c r="I24" s="18" t="n">
        <v>4369</v>
      </c>
      <c r="J24" s="43" t="n">
        <v>227.9</v>
      </c>
      <c r="K24" s="44" t="n">
        <v>0.07023735</v>
      </c>
      <c r="L24" s="18" t="n">
        <v>12</v>
      </c>
      <c r="M24" s="18" t="n">
        <v>12</v>
      </c>
      <c r="N24" s="19">
        <f>M24/L24</f>
        <v>1.0</v>
      </c>
    </row>
    <row r="25">
      <c r="A25" s="29" t="inlineStr">
        <is>
          <t>W3-02</t>
        </is>
      </c>
      <c r="B25" s="29" t="inlineStr">
        <is>
          <t>W3</t>
        </is>
      </c>
      <c r="C25" s="29" t="inlineStr">
        <is>
          <t>Full text</t>
        </is>
      </c>
      <c r="D25" s="29" t="inlineStr">
        <is>
          <t>Kimi K3</t>
        </is>
      </c>
      <c r="E25" s="29" t="inlineStr">
        <is>
          <t>moonshotai/kimi-k3</t>
        </is>
      </c>
      <c r="F25" s="29" t="inlineStr">
        <is>
          <t>Morph</t>
        </is>
      </c>
      <c r="G25" s="22" t="n">
        <v>77482</v>
      </c>
      <c r="H25" s="22" t="n">
        <v>11251</v>
      </c>
      <c r="I25" s="22" t="n">
        <v>9167</v>
      </c>
      <c r="J25" s="45" t="n">
        <v>827.5</v>
      </c>
      <c r="K25" s="46" t="n">
        <v>0.2809752</v>
      </c>
      <c r="L25" s="22" t="n">
        <v>5</v>
      </c>
      <c r="M25" s="22" t="n">
        <v>5</v>
      </c>
      <c r="N25" s="23">
        <f>M25/L25</f>
        <v>1.0</v>
      </c>
    </row>
    <row r="26">
      <c r="A26" s="28" t="inlineStr">
        <is>
          <t>W3-04</t>
        </is>
      </c>
      <c r="B26" s="28" t="inlineStr">
        <is>
          <t>W3</t>
        </is>
      </c>
      <c r="C26" s="28" t="inlineStr">
        <is>
          <t>Excerpt</t>
        </is>
      </c>
      <c r="D26" s="28" t="inlineStr">
        <is>
          <t>Gemini 3.1 Pro Preview</t>
        </is>
      </c>
      <c r="E26" s="28" t="inlineStr">
        <is>
          <t>google/gemini-3.1-pro-preview</t>
        </is>
      </c>
      <c r="F26" s="28" t="inlineStr">
        <is>
          <t>Google</t>
        </is>
      </c>
      <c r="G26" s="18" t="n">
        <v>1144</v>
      </c>
      <c r="H26" s="18" t="n">
        <v>1618</v>
      </c>
      <c r="I26" s="18" t="n">
        <v>1196</v>
      </c>
      <c r="J26" s="43" t="n">
        <v>11.7</v>
      </c>
      <c r="K26" s="44" t="n">
        <v>0.021704</v>
      </c>
      <c r="L26" s="18" t="n">
        <v>2</v>
      </c>
      <c r="M26" s="18" t="n">
        <v>2</v>
      </c>
      <c r="N26" s="19">
        <f>M26/L26</f>
        <v>1.0</v>
      </c>
    </row>
    <row r="27">
      <c r="A27" s="29" t="inlineStr">
        <is>
          <t>W3-04</t>
        </is>
      </c>
      <c r="B27" s="29" t="inlineStr">
        <is>
          <t>W3</t>
        </is>
      </c>
      <c r="C27" s="29" t="inlineStr">
        <is>
          <t>Full text</t>
        </is>
      </c>
      <c r="D27" s="29" t="inlineStr">
        <is>
          <t>Gemini 3.1 Pro Preview</t>
        </is>
      </c>
      <c r="E27" s="29" t="inlineStr">
        <is>
          <t>google/gemini-3.1-pro-preview</t>
        </is>
      </c>
      <c r="F27" s="29" t="inlineStr">
        <is>
          <t>Google</t>
        </is>
      </c>
      <c r="G27" s="22" t="n">
        <v>5979</v>
      </c>
      <c r="H27" s="22" t="n">
        <v>1713</v>
      </c>
      <c r="I27" s="22" t="n">
        <v>1257</v>
      </c>
      <c r="J27" s="45" t="n">
        <v>12.3</v>
      </c>
      <c r="K27" s="46" t="n">
        <v>0.032514</v>
      </c>
      <c r="L27" s="22" t="n">
        <v>3</v>
      </c>
      <c r="M27" s="22" t="n">
        <v>3</v>
      </c>
      <c r="N27" s="23">
        <f>M27/L27</f>
        <v>1.0</v>
      </c>
    </row>
    <row r="28">
      <c r="A28" s="28" t="inlineStr">
        <is>
          <t>W3-04</t>
        </is>
      </c>
      <c r="B28" s="28" t="inlineStr">
        <is>
          <t>W3</t>
        </is>
      </c>
      <c r="C28" s="28" t="inlineStr">
        <is>
          <t>Excerpt</t>
        </is>
      </c>
      <c r="D28" s="28" t="inlineStr">
        <is>
          <t>Kimi K3</t>
        </is>
      </c>
      <c r="E28" s="28" t="inlineStr">
        <is>
          <t>moonshotai/kimi-k3</t>
        </is>
      </c>
      <c r="F28" s="28" t="inlineStr">
        <is>
          <t>Morph</t>
        </is>
      </c>
      <c r="G28" s="18" t="n">
        <v>1138</v>
      </c>
      <c r="H28" s="18" t="n">
        <v>911</v>
      </c>
      <c r="I28" s="18" t="n">
        <v>233</v>
      </c>
      <c r="J28" s="43" t="n">
        <v>66.09999999999999</v>
      </c>
      <c r="K28" s="44" t="n">
        <v>0.0124792</v>
      </c>
      <c r="L28" s="18" t="n">
        <v>3</v>
      </c>
      <c r="M28" s="18" t="n">
        <v>3</v>
      </c>
      <c r="N28" s="19">
        <f>M28/L28</f>
        <v>1.0</v>
      </c>
    </row>
    <row r="29">
      <c r="A29" s="29" t="inlineStr">
        <is>
          <t>W3-04</t>
        </is>
      </c>
      <c r="B29" s="29" t="inlineStr">
        <is>
          <t>W3</t>
        </is>
      </c>
      <c r="C29" s="29" t="inlineStr">
        <is>
          <t>Full text</t>
        </is>
      </c>
      <c r="D29" s="29" t="inlineStr">
        <is>
          <t>Kimi K3</t>
        </is>
      </c>
      <c r="E29" s="29" t="inlineStr">
        <is>
          <t>moonshotai/kimi-k3</t>
        </is>
      </c>
      <c r="F29" s="29" t="inlineStr">
        <is>
          <t>Morph</t>
        </is>
      </c>
      <c r="G29" s="22" t="n">
        <v>6011</v>
      </c>
      <c r="H29" s="22" t="n">
        <v>4940</v>
      </c>
      <c r="I29" s="22" t="n">
        <v>3950</v>
      </c>
      <c r="J29" s="45" t="n">
        <v>312.1</v>
      </c>
      <c r="K29" s="46" t="n">
        <v>0.06734999999999999</v>
      </c>
      <c r="L29" s="22" t="n">
        <v>7</v>
      </c>
      <c r="M29" s="22" t="n">
        <v>7</v>
      </c>
      <c r="N29" s="23">
        <f>M29/L29</f>
        <v>1.0</v>
      </c>
    </row>
    <row r="30">
      <c r="A30" s="47" t="inlineStr">
        <is>
          <t>Total</t>
        </is>
      </c>
      <c r="B30" s="48" t="inlineStr"/>
      <c r="C30" s="48" t="inlineStr"/>
      <c r="D30" s="48" t="inlineStr"/>
      <c r="E30" s="48" t="inlineStr"/>
      <c r="F30" s="48" t="inlineStr"/>
      <c r="G30" s="49">
        <f>SUM(G6:G29)</f>
        <v>342478</v>
      </c>
      <c r="H30" s="49">
        <f>SUM(H6:H29)</f>
        <v>91303</v>
      </c>
      <c r="I30" s="49">
        <f>SUM(I6:I29)</f>
        <v>71270</v>
      </c>
      <c r="J30" s="50">
        <f>SUM(J6:J29)</f>
        <v>3353.0</v>
      </c>
      <c r="K30" s="51">
        <f>SUM(K6:K29)</f>
        <v>1.73135385</v>
      </c>
      <c r="L30" s="49">
        <f>SUM(L6:L29)</f>
        <v>123</v>
      </c>
      <c r="M30" s="49">
        <f>SUM(M6:M29)</f>
        <v>123</v>
      </c>
      <c r="N30" s="52">
        <f>M30/L30</f>
        <v>1.0</v>
      </c>
    </row>
    <row r="31">
      <c r="A31" s="13" t="inlineStr">
        <is>
          <t>Kept runs only (12 Kimi, 12 Gemini). Kimi W3-02 full text succeeded after 3 empty billed attempts (see Costs and time). Quotation check = exact match against the supplied attachment (observations/auto_citation_check.json); it does not test meaning. Source: 24_DOCUMENT_EVIDENCE_EXTENSION_PACKAGE run_records and parsed_outputs.</t>
        </is>
      </c>
    </row>
    <row r="33">
      <c r="A33" s="5" t="inlineStr">
        <is>
          <t>Table 2. Summary by model and evidence condition (live formulas over Table 1)</t>
        </is>
      </c>
    </row>
    <row r="34" ht="30" customHeight="1">
      <c r="A34" s="15" t="inlineStr">
        <is>
          <t>Model</t>
        </is>
      </c>
      <c r="B34" s="16" t="inlineStr">
        <is>
          <t>Evidence</t>
        </is>
      </c>
      <c r="C34" s="16" t="inlineStr">
        <is>
          <t>Runs</t>
        </is>
      </c>
      <c r="D34" s="16" t="inlineStr">
        <is>
          <t>Mean input tokens</t>
        </is>
      </c>
      <c r="E34" s="16" t="inlineStr">
        <is>
          <t>Mean latency (s)</t>
        </is>
      </c>
      <c r="F34" s="16" t="inlineStr">
        <is>
          <t>Total cost (US$)</t>
        </is>
      </c>
      <c r="G34" s="16" t="inlineStr">
        <is>
          <t>Quotations found</t>
        </is>
      </c>
    </row>
    <row r="35">
      <c r="A35" s="17" t="inlineStr">
        <is>
          <t>Gemini 3.1 Pro Preview</t>
        </is>
      </c>
      <c r="B35" s="28" t="inlineStr">
        <is>
          <t>Excerpt</t>
        </is>
      </c>
      <c r="C35" s="18">
        <f>COUNTIFS($D$6:$D$29,A35,$C$6:$C$29,B35)</f>
        <v>6</v>
      </c>
      <c r="D35" s="53">
        <f>AVERAGEIFS($G$6:$G$29,$D$6:$D$29,A35,$C$6:$C$29,B35)</f>
        <v>1148.6666666666667</v>
      </c>
      <c r="E35" s="54">
        <f>AVERAGEIFS($J$6:$J$29,$D$6:$D$29,A35,$C$6:$C$29,B35)</f>
        <v>17.150000000000002</v>
      </c>
      <c r="F35" s="55">
        <f>SUMIFS($K$6:$K$29,$D$6:$D$29,A35,$C$6:$C$29,B35)</f>
        <v>0.183668</v>
      </c>
      <c r="G35" s="56">
        <f>SUMIFS($M$6:$M$29,$D$6:$D$29,A35,$C$6:$C$29,B35)/SUMIFS($L$6:$L$29,$D$6:$D$29,A35,$C$6:$C$29,B35)</f>
        <v>1.0</v>
      </c>
    </row>
    <row r="36">
      <c r="A36" s="21" t="inlineStr">
        <is>
          <t>Gemini 3.1 Pro Preview</t>
        </is>
      </c>
      <c r="B36" s="29" t="inlineStr">
        <is>
          <t>Full text</t>
        </is>
      </c>
      <c r="C36" s="22">
        <f>COUNTIFS($D$6:$D$29,A36,$C$6:$C$29,B36)</f>
        <v>6</v>
      </c>
      <c r="D36" s="57">
        <f>AVERAGEIFS($G$6:$G$29,$D$6:$D$29,A36,$C$6:$C$29,B36)</f>
        <v>27796.666666666668</v>
      </c>
      <c r="E36" s="58">
        <f>AVERAGEIFS($J$6:$J$29,$D$6:$D$29,A36,$C$6:$C$29,B36)</f>
        <v>25.033333333333335</v>
      </c>
      <c r="F36" s="59">
        <f>SUMIFS($K$6:$K$29,$D$6:$D$29,A36,$C$6:$C$29,B36)</f>
        <v>0.535556</v>
      </c>
      <c r="G36" s="60">
        <f>SUMIFS($M$6:$M$29,$D$6:$D$29,A36,$C$6:$C$29,B36)/SUMIFS($L$6:$L$29,$D$6:$D$29,A36,$C$6:$C$29,B36)</f>
        <v>1.0</v>
      </c>
    </row>
    <row r="37">
      <c r="A37" s="17" t="inlineStr">
        <is>
          <t>Kimi K3</t>
        </is>
      </c>
      <c r="B37" s="28" t="inlineStr">
        <is>
          <t>Excerpt</t>
        </is>
      </c>
      <c r="C37" s="18">
        <f>COUNTIFS($D$6:$D$29,A37,$C$6:$C$29,B37)</f>
        <v>6</v>
      </c>
      <c r="D37" s="53">
        <f>AVERAGEIFS($G$6:$G$29,$D$6:$D$29,A37,$C$6:$C$29,B37)</f>
        <v>1161.5</v>
      </c>
      <c r="E37" s="54">
        <f>AVERAGEIFS($J$6:$J$29,$D$6:$D$29,A37,$C$6:$C$29,B37)</f>
        <v>159.48333333333332</v>
      </c>
      <c r="F37" s="55">
        <f>SUMIFS($K$6:$K$29,$D$6:$D$29,A37,$C$6:$C$29,B37)</f>
        <v>0.2642178</v>
      </c>
      <c r="G37" s="56">
        <f>SUMIFS($M$6:$M$29,$D$6:$D$29,A37,$C$6:$C$29,B37)/SUMIFS($L$6:$L$29,$D$6:$D$29,A37,$C$6:$C$29,B37)</f>
        <v>1.0</v>
      </c>
    </row>
    <row r="38">
      <c r="A38" s="21" t="inlineStr">
        <is>
          <t>Kimi K3</t>
        </is>
      </c>
      <c r="B38" s="29" t="inlineStr">
        <is>
          <t>Full text</t>
        </is>
      </c>
      <c r="C38" s="22">
        <f>COUNTIFS($D$6:$D$29,A38,$C$6:$C$29,B38)</f>
        <v>6</v>
      </c>
      <c r="D38" s="57">
        <f>AVERAGEIFS($G$6:$G$29,$D$6:$D$29,A38,$C$6:$C$29,B38)</f>
        <v>26972.833333333332</v>
      </c>
      <c r="E38" s="58">
        <f>AVERAGEIFS($J$6:$J$29,$D$6:$D$29,A38,$C$6:$C$29,B38)</f>
        <v>357.1666666666667</v>
      </c>
      <c r="F38" s="59">
        <f>SUMIFS($K$6:$K$29,$D$6:$D$29,A38,$C$6:$C$29,B38)</f>
        <v>0.7479120499999999</v>
      </c>
      <c r="G38" s="60">
        <f>SUMIFS($M$6:$M$29,$D$6:$D$29,A38,$C$6:$C$29,B38)/SUMIFS($L$6:$L$29,$D$6:$D$29,A38,$C$6:$C$29,B38)</f>
        <v>1.0</v>
      </c>
    </row>
    <row r="41">
      <c r="A41" s="5" t="inlineStr">
        <is>
          <t>Chart data (pivot of Table 1)</t>
        </is>
      </c>
    </row>
    <row r="42">
      <c r="A42" s="61" t="inlineStr">
        <is>
          <t>Latency (s)</t>
        </is>
      </c>
    </row>
    <row r="43">
      <c r="A43" s="27" t="inlineStr">
        <is>
          <t>Case</t>
        </is>
      </c>
      <c r="B43" s="27" t="inlineStr">
        <is>
          <t>Gemini, excerpt</t>
        </is>
      </c>
      <c r="C43" s="27" t="inlineStr">
        <is>
          <t>Gemini, full text</t>
        </is>
      </c>
      <c r="D43" s="27" t="inlineStr">
        <is>
          <t>Kimi, excerpt</t>
        </is>
      </c>
      <c r="E43" s="27" t="inlineStr">
        <is>
          <t>Kimi, full text</t>
        </is>
      </c>
    </row>
    <row r="44">
      <c r="A44" s="27" t="inlineStr">
        <is>
          <t>W1-03</t>
        </is>
      </c>
      <c r="B44" s="27" t="n">
        <v>19.2</v>
      </c>
      <c r="C44" s="27" t="n">
        <v>30.1</v>
      </c>
      <c r="D44" s="27" t="n">
        <v>109.7</v>
      </c>
      <c r="E44" s="27" t="n">
        <v>273.7</v>
      </c>
    </row>
    <row r="45">
      <c r="A45" s="27" t="inlineStr">
        <is>
          <t>W1-06</t>
        </is>
      </c>
      <c r="B45" s="27" t="n">
        <v>15.2</v>
      </c>
      <c r="C45" s="27" t="n">
        <v>15.5</v>
      </c>
      <c r="D45" s="27" t="n">
        <v>110</v>
      </c>
      <c r="E45" s="27" t="n">
        <v>319.6</v>
      </c>
    </row>
    <row r="46">
      <c r="A46" s="27" t="inlineStr">
        <is>
          <t>W2-03</t>
        </is>
      </c>
      <c r="B46" s="27" t="n">
        <v>16.8</v>
      </c>
      <c r="C46" s="27" t="n">
        <v>13.4</v>
      </c>
      <c r="D46" s="27" t="n">
        <v>114.8</v>
      </c>
      <c r="E46" s="27" t="n">
        <v>134.1</v>
      </c>
    </row>
    <row r="47">
      <c r="A47" s="27" t="inlineStr">
        <is>
          <t>W2-07</t>
        </is>
      </c>
      <c r="B47" s="27" t="n">
        <v>19.2</v>
      </c>
      <c r="C47" s="27" t="n">
        <v>21.3</v>
      </c>
      <c r="D47" s="27" t="n">
        <v>328.4</v>
      </c>
      <c r="E47" s="27" t="n">
        <v>276</v>
      </c>
    </row>
    <row r="48">
      <c r="A48" s="27" t="inlineStr">
        <is>
          <t>W3-02</t>
        </is>
      </c>
      <c r="B48" s="27" t="n">
        <v>20.8</v>
      </c>
      <c r="C48" s="27" t="n">
        <v>57.6</v>
      </c>
      <c r="D48" s="27" t="n">
        <v>227.9</v>
      </c>
      <c r="E48" s="27" t="n">
        <v>827.5</v>
      </c>
    </row>
    <row r="49">
      <c r="A49" s="27" t="inlineStr">
        <is>
          <t>W3-04</t>
        </is>
      </c>
      <c r="B49" s="27" t="n">
        <v>11.7</v>
      </c>
      <c r="C49" s="27" t="n">
        <v>12.3</v>
      </c>
      <c r="D49" s="27" t="n">
        <v>66.09999999999999</v>
      </c>
      <c r="E49" s="27" t="n">
        <v>312.1</v>
      </c>
    </row>
    <row r="51">
      <c r="A51" s="61" t="inlineStr">
        <is>
          <t>Cost (US$)</t>
        </is>
      </c>
    </row>
    <row r="52">
      <c r="A52" s="27" t="inlineStr">
        <is>
          <t>Case</t>
        </is>
      </c>
      <c r="B52" s="27" t="inlineStr">
        <is>
          <t>Gemini, excerpt</t>
        </is>
      </c>
      <c r="C52" s="27" t="inlineStr">
        <is>
          <t>Gemini, full text</t>
        </is>
      </c>
      <c r="D52" s="27" t="inlineStr">
        <is>
          <t>Kimi, excerpt</t>
        </is>
      </c>
      <c r="E52" s="27" t="inlineStr">
        <is>
          <t>Kimi, full text</t>
        </is>
      </c>
    </row>
    <row r="53">
      <c r="A53" s="27" t="inlineStr">
        <is>
          <t>W1-03</t>
        </is>
      </c>
      <c r="B53" s="27" t="n">
        <v>0.032742</v>
      </c>
      <c r="C53" s="27" t="n">
        <v>0.150398</v>
      </c>
      <c r="D53" s="27" t="n">
        <v>0.04129725</v>
      </c>
      <c r="E53" s="27" t="n">
        <v>0.19003845</v>
      </c>
    </row>
    <row r="54">
      <c r="A54" s="27" t="inlineStr">
        <is>
          <t>W1-06</t>
        </is>
      </c>
      <c r="B54" s="27" t="n">
        <v>0.022724</v>
      </c>
      <c r="C54" s="27" t="n">
        <v>0.034734</v>
      </c>
      <c r="D54" s="27" t="n">
        <v>0.03608865</v>
      </c>
      <c r="E54" s="27" t="n">
        <v>0.07712535</v>
      </c>
    </row>
    <row r="55">
      <c r="A55" s="27" t="inlineStr">
        <is>
          <t>W2-03</t>
        </is>
      </c>
      <c r="B55" s="27" t="n">
        <v>0.030942</v>
      </c>
      <c r="C55" s="27" t="n">
        <v>0.043676</v>
      </c>
      <c r="D55" s="27" t="n">
        <v>0.04526655</v>
      </c>
      <c r="E55" s="27" t="n">
        <v>0.06512745</v>
      </c>
    </row>
    <row r="56">
      <c r="A56" s="27" t="inlineStr">
        <is>
          <t>W2-07</t>
        </is>
      </c>
      <c r="B56" s="27" t="n">
        <v>0.036428</v>
      </c>
      <c r="C56" s="27" t="n">
        <v>0.052458</v>
      </c>
      <c r="D56" s="27" t="n">
        <v>0.0588488</v>
      </c>
      <c r="E56" s="27" t="n">
        <v>0.0672956</v>
      </c>
    </row>
    <row r="57">
      <c r="A57" s="27" t="inlineStr">
        <is>
          <t>W3-02</t>
        </is>
      </c>
      <c r="B57" s="27" t="n">
        <v>0.039128</v>
      </c>
      <c r="C57" s="27" t="n">
        <v>0.221776</v>
      </c>
      <c r="D57" s="27" t="n">
        <v>0.07023735</v>
      </c>
      <c r="E57" s="27" t="n">
        <v>0.2809752</v>
      </c>
    </row>
    <row r="58">
      <c r="A58" s="27" t="inlineStr">
        <is>
          <t>W3-04</t>
        </is>
      </c>
      <c r="B58" s="27" t="n">
        <v>0.021704</v>
      </c>
      <c r="C58" s="27" t="n">
        <v>0.032514</v>
      </c>
      <c r="D58" s="27" t="n">
        <v>0.0124792</v>
      </c>
      <c r="E58" s="27" t="n">
        <v>0.06734999999999999</v>
      </c>
    </row>
    <row r="60">
      <c r="A60" s="61" t="inlineStr">
        <is>
          <t>Input tokens</t>
        </is>
      </c>
    </row>
    <row r="61">
      <c r="A61" s="27" t="inlineStr">
        <is>
          <t>Case</t>
        </is>
      </c>
      <c r="B61" s="27" t="inlineStr">
        <is>
          <t>Gemini, excerpt</t>
        </is>
      </c>
      <c r="C61" s="27" t="inlineStr">
        <is>
          <t>Gemini, full text</t>
        </is>
      </c>
      <c r="D61" s="27" t="inlineStr">
        <is>
          <t>Kimi, excerpt</t>
        </is>
      </c>
      <c r="E61" s="27" t="inlineStr">
        <is>
          <t>Kimi, full text</t>
        </is>
      </c>
    </row>
    <row r="62">
      <c r="A62" s="27" t="inlineStr">
        <is>
          <t>W1-03</t>
        </is>
      </c>
      <c r="B62" s="27" t="n">
        <v>963</v>
      </c>
      <c r="C62" s="27" t="n">
        <v>55399</v>
      </c>
      <c r="D62" s="27" t="n">
        <v>993</v>
      </c>
      <c r="E62" s="27" t="n">
        <v>53812</v>
      </c>
    </row>
    <row r="63">
      <c r="A63" s="27" t="inlineStr">
        <is>
          <t>W1-06</t>
        </is>
      </c>
      <c r="B63" s="27" t="n">
        <v>856</v>
      </c>
      <c r="C63" s="27" t="n">
        <v>5541</v>
      </c>
      <c r="D63" s="27" t="n">
        <v>880</v>
      </c>
      <c r="E63" s="27" t="n">
        <v>5425</v>
      </c>
    </row>
    <row r="64">
      <c r="A64" s="27" t="inlineStr">
        <is>
          <t>W2-03</t>
        </is>
      </c>
      <c r="B64" s="27" t="n">
        <v>1035</v>
      </c>
      <c r="C64" s="27" t="n">
        <v>10930</v>
      </c>
      <c r="D64" s="27" t="n">
        <v>1079</v>
      </c>
      <c r="E64" s="27" t="n">
        <v>10620</v>
      </c>
    </row>
    <row r="65">
      <c r="A65" s="27" t="inlineStr">
        <is>
          <t>W2-07</t>
        </is>
      </c>
      <c r="B65" s="27" t="n">
        <v>1276</v>
      </c>
      <c r="C65" s="27" t="n">
        <v>8637</v>
      </c>
      <c r="D65" s="27" t="n">
        <v>1318</v>
      </c>
      <c r="E65" s="27" t="n">
        <v>8487</v>
      </c>
    </row>
    <row r="66">
      <c r="A66" s="27" t="inlineStr">
        <is>
          <t>W3-02</t>
        </is>
      </c>
      <c r="B66" s="27" t="n">
        <v>1618</v>
      </c>
      <c r="C66" s="27" t="n">
        <v>80294</v>
      </c>
      <c r="D66" s="27" t="n">
        <v>1561</v>
      </c>
      <c r="E66" s="27" t="n">
        <v>77482</v>
      </c>
    </row>
    <row r="67">
      <c r="A67" s="27" t="inlineStr">
        <is>
          <t>W3-04</t>
        </is>
      </c>
      <c r="B67" s="27" t="n">
        <v>1144</v>
      </c>
      <c r="C67" s="27" t="n">
        <v>5979</v>
      </c>
      <c r="D67" s="27" t="n">
        <v>1138</v>
      </c>
      <c r="E67" s="27" t="n">
        <v>6011</v>
      </c>
    </row>
    <row r="88">
      <c r="A88" s="14" t="inlineStr">
        <is>
          <t>Source: run_records/D*.json latency_seconds (OpenRouter API, one request per run).</t>
        </is>
      </c>
    </row>
    <row r="108">
      <c r="A108" s="14" t="inlineStr">
        <is>
          <t>Source: run_records/D*.json actual_cost (OpenRouter-reported usage.cost).</t>
        </is>
      </c>
    </row>
    <row r="128">
      <c r="A128" s="14" t="inlineStr">
        <is>
          <t>Source: run_records/D*.json input_tokens. Labels in thousands.</t>
        </is>
      </c>
    </row>
  </sheetData>
  <pageMargins left="0.75" right="0.75" top="1" bottom="1" header="0.5" footer="0.5"/>
  <pageSetup orientation="landscape" paperSize="9" fitToHeight="0" fitToWidth="1"/>
  <drawing xmlns:r="http://schemas.openxmlformats.org/officeDocument/2006/relationships" r:id="rId1"/>
</worksheet>
</file>

<file path=xl/worksheets/sheet11.xml><?xml version="1.0" encoding="utf-8"?>
<worksheet xmlns="http://schemas.openxmlformats.org/spreadsheetml/2006/main">
  <sheetPr>
    <tabColor rgb="00D5DAE1"/>
    <outlinePr summaryBelow="1" summaryRight="1"/>
    <pageSetUpPr fitToPage="1"/>
  </sheetPr>
  <dimension ref="A1:I55"/>
  <sheetViews>
    <sheetView showGridLines="0" workbookViewId="0">
      <pane ySplit="3" topLeftCell="A4" activePane="bottomLeft" state="frozen"/>
      <selection pane="bottomLeft" activeCell="A1" sqref="A1"/>
    </sheetView>
  </sheetViews>
  <sheetFormatPr baseColWidth="8" defaultRowHeight="15"/>
  <cols>
    <col width="44" customWidth="1" min="1" max="1"/>
    <col width="22" customWidth="1" min="2" max="2"/>
    <col width="24" customWidth="1" min="3" max="3"/>
    <col width="10" customWidth="1" min="4" max="4"/>
    <col width="13" customWidth="1" min="5" max="5"/>
    <col width="10" customWidth="1" min="6" max="6"/>
    <col width="13" customWidth="1" min="7" max="7"/>
    <col width="34" customWidth="1" min="8" max="8"/>
    <col width="56" customWidth="1" min="9" max="9"/>
  </cols>
  <sheetData>
    <row r="1" ht="24" customHeight="1">
      <c r="A1" s="1" t="inlineStr">
        <is>
          <t>AI costs and time by activity: kept runs vs total billed</t>
        </is>
      </c>
    </row>
    <row r="2">
      <c r="A2" s="2" t="inlineStr">
        <is>
          <t>Billed = OpenRouter activity exports (source of truth). Kept = cost on the retained run records. Subscription use and human time are not priced.</t>
        </is>
      </c>
    </row>
    <row r="4">
      <c r="A4" s="5" t="inlineStr">
        <is>
          <t>Table 1. Metered AI spend (US$): kept runs and total billed</t>
        </is>
      </c>
    </row>
    <row r="5" ht="30" customHeight="1">
      <c r="A5" s="15" t="inlineStr">
        <is>
          <t>Activity</t>
        </is>
      </c>
      <c r="B5" s="16" t="inlineStr">
        <is>
          <t>Model</t>
        </is>
      </c>
      <c r="C5" s="16" t="inlineStr">
        <is>
          <t>Route</t>
        </is>
      </c>
      <c r="D5" s="16" t="inlineStr">
        <is>
          <t>Kept runs</t>
        </is>
      </c>
      <c r="E5" s="16" t="inlineStr">
        <is>
          <t>Kept cost (US$)</t>
        </is>
      </c>
      <c r="F5" s="16" t="inlineStr">
        <is>
          <t>Billed calls</t>
        </is>
      </c>
      <c r="G5" s="16" t="inlineStr">
        <is>
          <t>Billed cost (US$)</t>
        </is>
      </c>
      <c r="H5" s="16" t="inlineStr">
        <is>
          <t>Time</t>
        </is>
      </c>
      <c r="I5" s="16" t="inlineStr">
        <is>
          <t>Source and notes</t>
        </is>
      </c>
    </row>
    <row r="6" ht="40" customHeight="1">
      <c r="A6" s="17" t="inlineStr">
        <is>
          <t>Document extension: Kimi K3</t>
        </is>
      </c>
      <c r="B6" s="28" t="inlineStr">
        <is>
          <t>Kimi K3</t>
        </is>
      </c>
      <c r="C6" s="28" t="inlineStr">
        <is>
          <t>OpenRouter API</t>
        </is>
      </c>
      <c r="D6" s="18" t="n">
        <v>12</v>
      </c>
      <c r="E6" s="62" t="n">
        <v>1.01212985</v>
      </c>
      <c r="F6" s="18" t="n">
        <v>15</v>
      </c>
      <c r="G6" s="62" t="n">
        <v>1.76304</v>
      </c>
      <c r="H6" s="41" t="inlineStr">
        <is>
          <t>Kept-run latency 52 min</t>
        </is>
      </c>
      <c r="I6" s="41" t="inlineStr">
        <is>
          <t>Billed includes 3 empty W3-02 full-text attempts cut at the output limit (US$0.75). run_records + openrouter_activity_2026-09-18_2.csv</t>
        </is>
      </c>
    </row>
    <row r="7" ht="40" customHeight="1">
      <c r="A7" s="21" t="inlineStr">
        <is>
          <t>Case drafting</t>
        </is>
      </c>
      <c r="B7" s="29" t="inlineStr">
        <is>
          <t>Gemini 3.8 Flash</t>
        </is>
      </c>
      <c r="C7" s="29" t="inlineStr">
        <is>
          <t>OpenRouter via OpenCode</t>
        </is>
      </c>
      <c r="D7" s="22" t="inlineStr">
        <is>
          <t>n/a</t>
        </is>
      </c>
      <c r="E7" s="63" t="inlineStr">
        <is>
          <t>n/a</t>
        </is>
      </c>
      <c r="F7" s="22" t="n">
        <v>100</v>
      </c>
      <c r="G7" s="63" t="n">
        <v>1.518647</v>
      </c>
      <c r="H7" s="42" t="inlineStr">
        <is>
          <t>Sep 7; generation 29 min</t>
        </is>
      </c>
      <c r="I7" s="42" t="inlineStr">
        <is>
          <t>openrouter_activity_2026-09-07.csv (all Gemini 3.8 Flash rows)</t>
        </is>
      </c>
    </row>
    <row r="8" ht="40" customHeight="1">
      <c r="A8" s="17" t="inlineStr">
        <is>
          <t>Claude AI judge (48 Claude answers)</t>
        </is>
      </c>
      <c r="B8" s="28" t="inlineStr">
        <is>
          <t>DeepSeek V4 Pro</t>
        </is>
      </c>
      <c r="C8" s="30" t="inlineStr">
        <is>
          <t>OpenRouter API (Sail Research 4, Baidu 44 kept)</t>
        </is>
      </c>
      <c r="D8" s="18" t="n">
        <v>48</v>
      </c>
      <c r="E8" s="62" t="n">
        <v>0.991065997</v>
      </c>
      <c r="F8" s="18" t="n">
        <v>61</v>
      </c>
      <c r="G8" s="62" t="n">
        <v>1.337153</v>
      </c>
      <c r="H8" s="41" t="inlineStr">
        <is>
          <t>Median 70 s per judgment; 14:28 to 15:12 (+08:00)</t>
        </is>
      </c>
      <c r="I8" s="41" t="inlineStr">
        <is>
          <t>Billed = all DeepSeek API calls on Sep 18, incl. replaced attempts. run_records K097 to K144</t>
        </is>
      </c>
    </row>
    <row r="9" ht="40" customHeight="1">
      <c r="A9" s="21" t="inlineStr">
        <is>
          <t>Primary AI judge (96 primary answers)</t>
        </is>
      </c>
      <c r="B9" s="29" t="inlineStr">
        <is>
          <t>DeepSeek V4 Pro</t>
        </is>
      </c>
      <c r="C9" s="29" t="inlineStr">
        <is>
          <t>OpenRouter via OpenCode (manual)</t>
        </is>
      </c>
      <c r="D9" s="22" t="inlineStr">
        <is>
          <t>n/a</t>
        </is>
      </c>
      <c r="E9" s="63" t="inlineStr">
        <is>
          <t>n/a</t>
        </is>
      </c>
      <c r="F9" s="22" t="n">
        <v>165</v>
      </c>
      <c r="G9" s="63" t="n">
        <v>0.815957</v>
      </c>
      <c r="H9" s="42" t="inlineStr">
        <is>
          <t>20:08 to 20:56 UTC Sep 17; generation 53 min</t>
        </is>
      </c>
      <c r="I9" s="42" t="inlineStr">
        <is>
          <t>Incl. practice prompt (3 calls, US$0.011), the Sep 18 J024 re-collection (1 call, US$0.016) and OpenCode multi-call overhead; judging window alone US$0.79. J run records carry no cost</t>
        </is>
      </c>
    </row>
    <row r="10" ht="40" customHeight="1">
      <c r="A10" s="32" t="inlineStr">
        <is>
          <t>Document extension: Gemini 3.1 Pro Preview</t>
        </is>
      </c>
      <c r="B10" s="28" t="inlineStr">
        <is>
          <t>Gemini 3.1 Pro Preview</t>
        </is>
      </c>
      <c r="C10" s="28" t="inlineStr">
        <is>
          <t>OpenRouter API</t>
        </is>
      </c>
      <c r="D10" s="18" t="n">
        <v>12</v>
      </c>
      <c r="E10" s="62" t="n">
        <v>0.719224</v>
      </c>
      <c r="F10" s="18" t="n">
        <v>12</v>
      </c>
      <c r="G10" s="62" t="n">
        <v>0.719224</v>
      </c>
      <c r="H10" s="41" t="inlineStr">
        <is>
          <t>Kept-run latency 4.2 min</t>
        </is>
      </c>
      <c r="I10" s="41" t="inlineStr">
        <is>
          <t>Billed = kept. run_records + openrouter_activity_2026-09-18_2.csv</t>
        </is>
      </c>
    </row>
    <row r="11" ht="40" customHeight="1">
      <c r="A11" s="21" t="inlineStr">
        <is>
          <t>Two Fable 5.1 answers via OpenRouter</t>
        </is>
      </c>
      <c r="B11" s="29" t="inlineStr">
        <is>
          <t>Claude Fable 5.1</t>
        </is>
      </c>
      <c r="C11" s="29" t="inlineStr">
        <is>
          <t>OpenRouter via OpenCode</t>
        </is>
      </c>
      <c r="D11" s="22" t="n">
        <v>2</v>
      </c>
      <c r="E11" s="63" t="n">
        <v>0.550056</v>
      </c>
      <c r="F11" s="22" t="n">
        <v>2</v>
      </c>
      <c r="G11" s="63" t="n">
        <v>0.550056</v>
      </c>
      <c r="H11" s="42" t="inlineStr">
        <is>
          <t>Sep 16; generation 1.1 min</t>
        </is>
      </c>
      <c r="I11" s="42" t="inlineStr">
        <is>
          <t>openrouter_activity_2026-09-18.csv (Sep 16 rows; not in the _2 export)</t>
        </is>
      </c>
    </row>
    <row r="12" ht="40" customHeight="1">
      <c r="A12" s="32" t="inlineStr">
        <is>
          <t>OpenCode auxiliary calls during primary judging</t>
        </is>
      </c>
      <c r="B12" s="28" t="inlineStr">
        <is>
          <t>Gemini 3.8 Flash</t>
        </is>
      </c>
      <c r="C12" s="28" t="inlineStr">
        <is>
          <t>OpenRouter via OpenCode</t>
        </is>
      </c>
      <c r="D12" s="18" t="inlineStr">
        <is>
          <t>n/a</t>
        </is>
      </c>
      <c r="E12" s="62" t="inlineStr">
        <is>
          <t>n/a</t>
        </is>
      </c>
      <c r="F12" s="18" t="n">
        <v>97</v>
      </c>
      <c r="G12" s="62" t="n">
        <v>0.448183</v>
      </c>
      <c r="H12" s="41" t="inlineStr">
        <is>
          <t>Same window as primary judge</t>
        </is>
      </c>
      <c r="I12" s="41" t="inlineStr">
        <is>
          <t>Interface overhead (titles/housekeeping), not judging. openrouter_activity_2026-09-18_2.csv</t>
        </is>
      </c>
    </row>
    <row r="13" ht="40" customHeight="1">
      <c r="A13" s="21" t="inlineStr">
        <is>
          <t>Other OpenCode auxiliary calls</t>
        </is>
      </c>
      <c r="B13" s="29" t="inlineStr">
        <is>
          <t>Gemini 3.8 Flash</t>
        </is>
      </c>
      <c r="C13" s="29" t="inlineStr">
        <is>
          <t>OpenRouter via OpenCode</t>
        </is>
      </c>
      <c r="D13" s="22" t="inlineStr">
        <is>
          <t>n/a</t>
        </is>
      </c>
      <c r="E13" s="63" t="inlineStr">
        <is>
          <t>n/a</t>
        </is>
      </c>
      <c r="F13" s="22" t="n">
        <v>3</v>
      </c>
      <c r="G13" s="63" t="n">
        <v>0.007844</v>
      </c>
      <c r="H13" s="42" t="inlineStr">
        <is>
          <t>2026-09-16, 2026-09-18</t>
        </is>
      </c>
      <c r="I13" s="42" t="inlineStr">
        <is>
          <t>Interface overhead on the Fable and Sep 18 sessions</t>
        </is>
      </c>
    </row>
    <row r="14">
      <c r="A14" s="64" t="inlineStr">
        <is>
          <t>Total</t>
        </is>
      </c>
      <c r="B14" s="65" t="inlineStr"/>
      <c r="C14" s="65" t="inlineStr"/>
      <c r="D14" s="66">
        <f>SUM(D6:D13)</f>
        <v>74</v>
      </c>
      <c r="E14" s="67">
        <f>SUM(E6:E13)</f>
        <v>3.272475847</v>
      </c>
      <c r="F14" s="66">
        <f>SUM(F6:F13)</f>
        <v>455</v>
      </c>
      <c r="G14" s="67">
        <f>SUM(G6:G13)</f>
        <v>7.1601040000000005</v>
      </c>
      <c r="H14" s="65" t="inlineStr"/>
      <c r="I14" s="64" t="inlineStr">
        <is>
          <t>Live formulas; kept total covers only activities with run records</t>
        </is>
      </c>
    </row>
    <row r="15">
      <c r="A15" s="13" t="inlineStr">
        <is>
          <t>n/a = no per-run cost record (manual OpenCode sessions); billed cost from the activity export is the only measure.</t>
        </is>
      </c>
    </row>
    <row r="17">
      <c r="A17" s="5" t="inlineStr">
        <is>
          <t>Table 2. Not metered (no cost is claimed)</t>
        </is>
      </c>
    </row>
    <row r="18" ht="30" customHeight="1">
      <c r="A18" s="15" t="inlineStr">
        <is>
          <t>Activity</t>
        </is>
      </c>
      <c r="B18" s="16" t="inlineStr">
        <is>
          <t>Model or person</t>
        </is>
      </c>
      <c r="C18" s="16" t="inlineStr">
        <is>
          <t>Access</t>
        </is>
      </c>
      <c r="D18" s="68" t="inlineStr">
        <is>
          <t>Note</t>
        </is>
      </c>
    </row>
    <row r="19">
      <c r="A19" s="17" t="inlineStr">
        <is>
          <t>Primary answers: Astra and Luna (96)</t>
        </is>
      </c>
      <c r="B19" s="28" t="inlineStr">
        <is>
          <t>OpenAI Codex, Medium</t>
        </is>
      </c>
      <c r="C19" s="28" t="inlineStr">
        <is>
          <t>Subscription</t>
        </is>
      </c>
      <c r="D19" s="28" t="inlineStr">
        <is>
          <t>Cost not measured; subscription access is not a per-answer price.</t>
        </is>
      </c>
      <c r="E19" s="69" t="n"/>
      <c r="F19" s="69" t="n"/>
      <c r="G19" s="69" t="n"/>
      <c r="H19" s="69" t="n"/>
      <c r="I19" s="69" t="n"/>
    </row>
    <row r="20">
      <c r="A20" s="35" t="inlineStr">
        <is>
          <t>Claude answers: Fable 5.1 and Haiku 4.5 (96, except 2 above)</t>
        </is>
      </c>
      <c r="B20" s="29" t="inlineStr">
        <is>
          <t>Claude desktop</t>
        </is>
      </c>
      <c r="C20" s="29" t="inlineStr">
        <is>
          <t>Subscription</t>
        </is>
      </c>
      <c r="D20" s="29" t="inlineStr">
        <is>
          <t>Cost not measured.</t>
        </is>
      </c>
      <c r="E20" s="69" t="n"/>
      <c r="F20" s="69" t="n"/>
      <c r="G20" s="69" t="n"/>
      <c r="H20" s="69" t="n"/>
      <c r="I20" s="69" t="n"/>
    </row>
    <row r="21">
      <c r="A21" s="17" t="inlineStr">
        <is>
          <t>Researcher scoring and timed review</t>
        </is>
      </c>
      <c r="B21" s="28" t="inlineStr">
        <is>
          <t>Human</t>
        </is>
      </c>
      <c r="C21" s="28" t="inlineStr"/>
      <c r="D21" s="28" t="inlineStr">
        <is>
          <t>Timed review only for 24 answers (see Timing); scoring time not priced.</t>
        </is>
      </c>
      <c r="E21" s="69" t="n"/>
      <c r="F21" s="69" t="n"/>
      <c r="G21" s="69" t="n"/>
      <c r="H21" s="69" t="n"/>
      <c r="I21" s="69" t="n"/>
    </row>
    <row r="22">
      <c r="A22" s="21" t="inlineStr">
        <is>
          <t>Independent reviewers</t>
        </is>
      </c>
      <c r="B22" s="29" t="inlineStr">
        <is>
          <t>Human</t>
        </is>
      </c>
      <c r="C22" s="29" t="inlineStr"/>
      <c r="D22" s="29" t="inlineStr">
        <is>
          <t>Volunteer review; time not recorded.</t>
        </is>
      </c>
      <c r="E22" s="69" t="n"/>
      <c r="F22" s="69" t="n"/>
      <c r="G22" s="69" t="n"/>
      <c r="H22" s="69" t="n"/>
      <c r="I22" s="69" t="n"/>
    </row>
    <row r="24">
      <c r="A24" s="5" t="inlineStr">
        <is>
          <t>Chart data</t>
        </is>
      </c>
    </row>
    <row r="25">
      <c r="A25" s="27" t="inlineStr">
        <is>
          <t>Activity</t>
        </is>
      </c>
      <c r="B25" s="27" t="inlineStr">
        <is>
          <t>Kept runs (US$)</t>
        </is>
      </c>
      <c r="C25" s="27" t="inlineStr">
        <is>
          <t>Total billed (US$)</t>
        </is>
      </c>
    </row>
    <row r="26">
      <c r="A26" s="27" t="inlineStr">
        <is>
          <t>Document extension: Kimi K3</t>
        </is>
      </c>
      <c r="B26" s="70" t="n">
        <v>1.0121</v>
      </c>
      <c r="C26" s="70" t="n">
        <v>1.763</v>
      </c>
    </row>
    <row r="27">
      <c r="A27" s="27" t="inlineStr">
        <is>
          <t>Case drafting</t>
        </is>
      </c>
      <c r="B27" s="70" t="n"/>
      <c r="C27" s="70" t="n">
        <v>1.5186</v>
      </c>
    </row>
    <row r="28">
      <c r="A28" s="27" t="inlineStr">
        <is>
          <t>Claude AI judge (48 Claude answers)</t>
        </is>
      </c>
      <c r="B28" s="70" t="n">
        <v>0.9911</v>
      </c>
      <c r="C28" s="70" t="n">
        <v>1.3372</v>
      </c>
    </row>
    <row r="29">
      <c r="A29" s="27" t="inlineStr">
        <is>
          <t>Primary AI judge (96 primary answers)</t>
        </is>
      </c>
      <c r="B29" s="70" t="n"/>
      <c r="C29" s="70" t="n">
        <v>0.8159999999999999</v>
      </c>
    </row>
    <row r="30">
      <c r="A30" s="27" t="inlineStr">
        <is>
          <t>Document extension: Gemini 3.1 Pro Preview</t>
        </is>
      </c>
      <c r="B30" s="70" t="n">
        <v>0.7192</v>
      </c>
      <c r="C30" s="70" t="n">
        <v>0.7192</v>
      </c>
    </row>
    <row r="31">
      <c r="A31" s="27" t="inlineStr">
        <is>
          <t>Two Fable 5.1 answers via OpenRouter</t>
        </is>
      </c>
      <c r="B31" s="70" t="n">
        <v>0.5501</v>
      </c>
      <c r="C31" s="70" t="n">
        <v>0.5501</v>
      </c>
    </row>
    <row r="32">
      <c r="A32" s="27" t="inlineStr">
        <is>
          <t>OpenCode auxiliary calls during primary judging</t>
        </is>
      </c>
      <c r="B32" s="70" t="n"/>
      <c r="C32" s="70" t="n">
        <v>0.4482</v>
      </c>
    </row>
    <row r="33">
      <c r="A33" s="27" t="inlineStr">
        <is>
          <t>Other OpenCode auxiliary calls</t>
        </is>
      </c>
      <c r="B33" s="70" t="n"/>
      <c r="C33" s="70" t="n">
        <v>0.0078</v>
      </c>
    </row>
    <row r="55">
      <c r="A55" s="14" t="inlineStr">
        <is>
          <t>Source: openrouter_activity_2026-09-07.csv, openrouter_activity_2026-09-18.csv (Sep 16 only), openrouter_activity_2026-09-18_2.csv; run records in packages 24 and 26. Grey = kept runs where recorded.</t>
        </is>
      </c>
    </row>
  </sheetData>
  <mergeCells count="5">
    <mergeCell ref="D19:I19"/>
    <mergeCell ref="D22:I22"/>
    <mergeCell ref="D18:I18"/>
    <mergeCell ref="D20:I20"/>
    <mergeCell ref="D21:I21"/>
  </mergeCells>
  <pageMargins left="0.75" right="0.75" top="1" bottom="1" header="0.5" footer="0.5"/>
  <pageSetup orientation="landscape" paperSize="9" fitToHeight="0" fitToWidth="1"/>
  <drawing xmlns:r="http://schemas.openxmlformats.org/officeDocument/2006/relationships" r:id="rId1"/>
</worksheet>
</file>

<file path=xl/worksheets/sheet12.xml><?xml version="1.0" encoding="utf-8"?>
<worksheet xmlns="http://schemas.openxmlformats.org/spreadsheetml/2006/main">
  <sheetPr>
    <tabColor rgb="008A94A6"/>
    <outlinePr summaryBelow="1" summaryRight="1"/>
    <pageSetUpPr fitToPage="1"/>
  </sheetPr>
  <dimension ref="A1:E50"/>
  <sheetViews>
    <sheetView showGridLines="0" workbookViewId="0">
      <pane ySplit="3" topLeftCell="A4" activePane="bottomLeft" state="frozen"/>
      <selection pane="bottomLeft" activeCell="A1" sqref="A1"/>
    </sheetView>
  </sheetViews>
  <sheetFormatPr baseColWidth="8" defaultRowHeight="15"/>
  <cols>
    <col width="58" customWidth="1" min="1" max="1"/>
    <col width="16" customWidth="1" min="2" max="2"/>
    <col width="16" customWidth="1" min="3" max="3"/>
    <col width="12" customWidth="1" min="4" max="4"/>
    <col width="70" customWidth="1" min="5" max="5"/>
  </cols>
  <sheetData>
    <row r="1" ht="24" customHeight="1">
      <c r="A1" s="1" t="inlineStr">
        <is>
          <t>Source cross-checks and discrepancies</t>
        </is>
      </c>
    </row>
    <row r="2">
      <c r="A2" s="2" t="inlineStr">
        <is>
          <t>Each computed value compared with a second source or a previously verified total. Tolerance for money: US$0.01.</t>
        </is>
      </c>
    </row>
    <row r="4" ht="30" customHeight="1">
      <c r="A4" s="15" t="inlineStr">
        <is>
          <t>Check</t>
        </is>
      </c>
      <c r="B4" s="16" t="inlineStr">
        <is>
          <t>Computed here</t>
        </is>
      </c>
      <c r="C4" s="16" t="inlineStr">
        <is>
          <t>Reference</t>
        </is>
      </c>
      <c r="D4" s="16" t="inlineStr">
        <is>
          <t>Status</t>
        </is>
      </c>
      <c r="E4" s="16" t="inlineStr">
        <is>
          <t>Note</t>
        </is>
      </c>
    </row>
    <row r="5">
      <c r="A5" s="32" t="inlineStr">
        <is>
          <t>Useful releases, Astra checked (join vs S2)</t>
        </is>
      </c>
      <c r="B5" s="71" t="n">
        <v>23</v>
      </c>
      <c r="C5" s="71" t="n">
        <v>23</v>
      </c>
      <c r="D5" s="72" t="str">
        <f>IF(ABS(B5-C5)&lt;=0,"Match","Differs")</f>
        <v>Match</v>
      </c>
      <c r="E5" s="28" t="inlineStr"/>
    </row>
    <row r="6">
      <c r="A6" s="35" t="inlineStr">
        <is>
          <t>Useful releases, Luna checked (join vs S2)</t>
        </is>
      </c>
      <c r="B6" s="73" t="n">
        <v>21</v>
      </c>
      <c r="C6" s="73" t="n">
        <v>21</v>
      </c>
      <c r="D6" s="74" t="str">
        <f>IF(ABS(B6-C6)&lt;=0,"Match","Differs")</f>
        <v>Match</v>
      </c>
      <c r="E6" s="29" t="inlineStr"/>
    </row>
    <row r="7">
      <c r="A7" s="32" t="inlineStr">
        <is>
          <t>Useful releases, Luna checked (S2 vs placeholder R-13d)</t>
        </is>
      </c>
      <c r="B7" s="71" t="n">
        <v>21</v>
      </c>
      <c r="C7" s="71" t="n">
        <v>21</v>
      </c>
      <c r="D7" s="72" t="str">
        <f>IF(ABS(B7-C7)&lt;=0,"Match","Differs")</f>
        <v>Match</v>
      </c>
      <c r="E7" s="28" t="inlineStr"/>
    </row>
    <row r="8">
      <c r="A8" s="21" t="inlineStr">
        <is>
          <t>Scored answers (researcher_scores vs S1)</t>
        </is>
      </c>
      <c r="B8" s="73" t="n">
        <v>60</v>
      </c>
      <c r="C8" s="73" t="n">
        <v>60</v>
      </c>
      <c r="D8" s="74" t="str">
        <f>IF(ABS(B8-C8)&lt;=0,"Match","Differs")</f>
        <v>Match</v>
      </c>
      <c r="E8" s="29" t="inlineStr"/>
    </row>
    <row r="9">
      <c r="A9" s="32" t="inlineStr">
        <is>
          <t>Claude check decisions, Haiku blocked (safe_gate vs extension_controls)</t>
        </is>
      </c>
      <c r="B9" s="71" t="n">
        <v>10</v>
      </c>
      <c r="C9" s="71" t="n">
        <v>10</v>
      </c>
      <c r="D9" s="72" t="str">
        <f>IF(ABS(B9-C9)&lt;=0,"Match","Differs")</f>
        <v>Match</v>
      </c>
      <c r="E9" s="28" t="inlineStr"/>
    </row>
    <row r="10">
      <c r="A10" s="35" t="inlineStr">
        <is>
          <t>Claude check decisions, Fable blocked (safe_gate vs extension_controls)</t>
        </is>
      </c>
      <c r="B10" s="73" t="n">
        <v>7</v>
      </c>
      <c r="C10" s="73" t="n">
        <v>7</v>
      </c>
      <c r="D10" s="74" t="str">
        <f>IF(ABS(B10-C10)&lt;=0,"Match","Differs")</f>
        <v>Match</v>
      </c>
      <c r="E10" s="29" t="inlineStr"/>
    </row>
    <row r="11">
      <c r="A11" s="32" t="inlineStr">
        <is>
          <t>AI judge severity exact agreement (count)</t>
        </is>
      </c>
      <c r="B11" s="71" t="n">
        <v>54</v>
      </c>
      <c r="C11" s="71" t="n">
        <v>54</v>
      </c>
      <c r="D11" s="72" t="str">
        <f>IF(ABS(B11-C11)&lt;=0,"Match","Differs")</f>
        <v>Match</v>
      </c>
      <c r="E11" s="28" t="inlineStr">
        <is>
          <t>54 of 60 exact.</t>
        </is>
      </c>
    </row>
    <row r="12">
      <c r="A12" s="35" t="inlineStr">
        <is>
          <t>Primary AI judge judging window only, US$ (20:10 to 20:56 UTC)</t>
        </is>
      </c>
      <c r="B12" s="73" t="n">
        <v>0.7887</v>
      </c>
      <c r="C12" s="73" t="n">
        <v>0.79</v>
      </c>
      <c r="D12" s="34" t="str">
        <f>IF(ABS(B12-C12)&lt;=0.01,"Match","Differs")</f>
        <v>Match</v>
      </c>
      <c r="E12" s="29" t="inlineStr">
        <is>
          <t>Verified total approx. US$0.79.</t>
        </is>
      </c>
    </row>
    <row r="13">
      <c r="A13" s="32" t="inlineStr">
        <is>
          <t>Primary AI judge billed incl. practice and J024 re-collection, US$</t>
        </is>
      </c>
      <c r="B13" s="71" t="n">
        <v>0.8159999999999999</v>
      </c>
      <c r="C13" s="71" t="n">
        <v>0.82</v>
      </c>
      <c r="D13" s="33" t="str">
        <f>IF(ABS(B13-C13)&lt;=0.01,"Match","Differs")</f>
        <v>Match</v>
      </c>
      <c r="E13" s="30" t="inlineStr">
        <is>
          <t>164 calls in the Sep 17 window plus 1 on Sep 18.</t>
        </is>
      </c>
    </row>
    <row r="14">
      <c r="A14" s="21" t="inlineStr">
        <is>
          <t>Primary AI judge billed calls</t>
        </is>
      </c>
      <c r="B14" s="73" t="n">
        <v>165</v>
      </c>
      <c r="C14" s="73" t="n">
        <v>165</v>
      </c>
      <c r="D14" s="74" t="str">
        <f>IF(ABS(B14-C14)&lt;=0,"Match","Differs")</f>
        <v>Match</v>
      </c>
      <c r="E14" s="29" t="inlineStr"/>
    </row>
    <row r="15">
      <c r="A15" s="32" t="inlineStr">
        <is>
          <t>OpenCode Gemini 3.8 Flash calls in judge window</t>
        </is>
      </c>
      <c r="B15" s="71" t="n">
        <v>97</v>
      </c>
      <c r="C15" s="71" t="n">
        <v>97</v>
      </c>
      <c r="D15" s="72" t="str">
        <f>IF(ABS(B15-C15)&lt;=0,"Match","Differs")</f>
        <v>Match</v>
      </c>
      <c r="E15" s="28" t="inlineStr">
        <is>
          <t>Coordinator: 97 calls, US$0.45.</t>
        </is>
      </c>
    </row>
    <row r="16">
      <c r="A16" s="35" t="inlineStr">
        <is>
          <t>OpenCode Gemini 3.8 Flash cost in judge window, US$</t>
        </is>
      </c>
      <c r="B16" s="73" t="n">
        <v>0.4482</v>
      </c>
      <c r="C16" s="73" t="n">
        <v>0.45</v>
      </c>
      <c r="D16" s="34" t="str">
        <f>IF(ABS(B16-C16)&lt;=0.01,"Match","Differs")</f>
        <v>Match</v>
      </c>
      <c r="E16" s="29" t="inlineStr"/>
    </row>
    <row r="17">
      <c r="A17" s="32" t="inlineStr">
        <is>
          <t>Claude AI judge kept replies, US$ (run records)</t>
        </is>
      </c>
      <c r="B17" s="71" t="n">
        <v>0.9911</v>
      </c>
      <c r="C17" s="71" t="n">
        <v>0.99</v>
      </c>
      <c r="D17" s="33" t="str">
        <f>IF(ABS(B17-C17)&lt;=0.01,"Match","Differs")</f>
        <v>Match</v>
      </c>
      <c r="E17" s="28" t="inlineStr"/>
    </row>
    <row r="18">
      <c r="A18" s="35" t="inlineStr">
        <is>
          <t>Claude AI judge kept + replaced attempt records, US$</t>
        </is>
      </c>
      <c r="B18" s="73" t="n">
        <v>1.1365</v>
      </c>
      <c r="C18" s="73" t="n">
        <v>1.14</v>
      </c>
      <c r="D18" s="34" t="str">
        <f>IF(ABS(B18-C18)&lt;=0.01,"Match","Differs")</f>
        <v>Match</v>
      </c>
      <c r="E18" s="29" t="inlineStr">
        <is>
          <t>Run-record view; lower than billed.</t>
        </is>
      </c>
    </row>
    <row r="19">
      <c r="A19" s="17" t="inlineStr">
        <is>
          <t>Claude AI judge billed calls (Sep 18)</t>
        </is>
      </c>
      <c r="B19" s="71" t="n">
        <v>61</v>
      </c>
      <c r="C19" s="71" t="n">
        <v>61</v>
      </c>
      <c r="D19" s="72" t="str">
        <f>IF(ABS(B19-C19)&lt;=0,"Match","Differs")</f>
        <v>Match</v>
      </c>
      <c r="E19" s="28" t="inlineStr">
        <is>
          <t>API calls only.</t>
        </is>
      </c>
    </row>
    <row r="20">
      <c r="A20" s="21" t="inlineStr">
        <is>
          <t>Claude AI judge billed, US$</t>
        </is>
      </c>
      <c r="B20" s="73" t="n">
        <v>1.3372</v>
      </c>
      <c r="C20" s="73" t="n">
        <v>1.34</v>
      </c>
      <c r="D20" s="34" t="str">
        <f>IF(ABS(B20-C20)&lt;=0.01,"Match","Differs")</f>
        <v>Match</v>
      </c>
      <c r="E20" s="29" t="inlineStr"/>
    </row>
    <row r="21">
      <c r="A21" s="17" t="inlineStr">
        <is>
          <t>Gemini document extension kept, US$</t>
        </is>
      </c>
      <c r="B21" s="71" t="n">
        <v>0.7192</v>
      </c>
      <c r="C21" s="71" t="n">
        <v>0.72</v>
      </c>
      <c r="D21" s="33" t="str">
        <f>IF(ABS(B21-C21)&lt;=0.01,"Match","Differs")</f>
        <v>Match</v>
      </c>
      <c r="E21" s="28" t="inlineStr"/>
    </row>
    <row r="22">
      <c r="A22" s="21" t="inlineStr">
        <is>
          <t>Gemini document extension billed, US$</t>
        </is>
      </c>
      <c r="B22" s="73" t="n">
        <v>0.7192</v>
      </c>
      <c r="C22" s="73" t="n">
        <v>0.72</v>
      </c>
      <c r="D22" s="34" t="str">
        <f>IF(ABS(B22-C22)&lt;=0.01,"Match","Differs")</f>
        <v>Match</v>
      </c>
      <c r="E22" s="29" t="inlineStr">
        <is>
          <t>Billed = kept.</t>
        </is>
      </c>
    </row>
    <row r="23">
      <c r="A23" s="17" t="inlineStr">
        <is>
          <t>Kimi document extension kept, US$</t>
        </is>
      </c>
      <c r="B23" s="71" t="n">
        <v>1.0121</v>
      </c>
      <c r="C23" s="71" t="n">
        <v>1.01</v>
      </c>
      <c r="D23" s="33" t="str">
        <f>IF(ABS(B23-C23)&lt;=0.01,"Match","Differs")</f>
        <v>Match</v>
      </c>
      <c r="E23" s="28" t="inlineStr"/>
    </row>
    <row r="24">
      <c r="A24" s="21" t="inlineStr">
        <is>
          <t>Kimi document extension billed calls</t>
        </is>
      </c>
      <c r="B24" s="73" t="n">
        <v>15</v>
      </c>
      <c r="C24" s="73" t="n">
        <v>15</v>
      </c>
      <c r="D24" s="74" t="str">
        <f>IF(ABS(B24-C24)&lt;=0,"Match","Differs")</f>
        <v>Match</v>
      </c>
      <c r="E24" s="29" t="inlineStr"/>
    </row>
    <row r="25">
      <c r="A25" s="17" t="inlineStr">
        <is>
          <t>Kimi document extension billed, US$</t>
        </is>
      </c>
      <c r="B25" s="71" t="n">
        <v>1.763</v>
      </c>
      <c r="C25" s="71" t="n">
        <v>1.76</v>
      </c>
      <c r="D25" s="33" t="str">
        <f>IF(ABS(B25-C25)&lt;=0.01,"Match","Differs")</f>
        <v>Match</v>
      </c>
      <c r="E25" s="28" t="inlineStr">
        <is>
          <t>Coordinator: 15 calls, US$1.76.</t>
        </is>
      </c>
    </row>
    <row r="26">
      <c r="A26" s="21" t="inlineStr">
        <is>
          <t>Kimi quotations found / total</t>
        </is>
      </c>
      <c r="B26" s="73" t="n">
        <v>80</v>
      </c>
      <c r="C26" s="73" t="n">
        <v>80</v>
      </c>
      <c r="D26" s="74" t="str">
        <f>IF(ABS(B26-C26)&lt;=0,"Match","Differs")</f>
        <v>Match</v>
      </c>
      <c r="E26" s="29" t="inlineStr">
        <is>
          <t>Coordinator: 80/80.</t>
        </is>
      </c>
    </row>
    <row r="27">
      <c r="A27" s="17" t="inlineStr">
        <is>
          <t>Gemini quotations found / total</t>
        </is>
      </c>
      <c r="B27" s="71" t="n">
        <v>43</v>
      </c>
      <c r="C27" s="71" t="n">
        <v>43</v>
      </c>
      <c r="D27" s="72" t="str">
        <f>IF(ABS(B27-C27)&lt;=0,"Match","Differs")</f>
        <v>Match</v>
      </c>
      <c r="E27" s="28" t="inlineStr">
        <is>
          <t>Coordinator: 43/43.</t>
        </is>
      </c>
    </row>
    <row r="28">
      <c r="A28" s="21" t="inlineStr">
        <is>
          <t>Primary AI judge valid parsed outputs</t>
        </is>
      </c>
      <c r="B28" s="73" t="n">
        <v>96</v>
      </c>
      <c r="C28" s="73" t="n">
        <v>96</v>
      </c>
      <c r="D28" s="74" t="str">
        <f>IF(ABS(B28-C28)&lt;=0,"Match","Differs")</f>
        <v>Match</v>
      </c>
      <c r="E28" s="29" t="inlineStr">
        <is>
          <t>After J024 re-collection.</t>
        </is>
      </c>
    </row>
    <row r="29">
      <c r="A29" s="17" t="inlineStr">
        <is>
          <t>Reviewer comparisons / distinct answers</t>
        </is>
      </c>
      <c r="B29" s="71" t="n">
        <v>15</v>
      </c>
      <c r="C29" s="71" t="n">
        <v>15</v>
      </c>
      <c r="D29" s="72" t="str">
        <f>IF(ABS(B29-C29)&lt;=0,"Match","Differs")</f>
        <v>Match</v>
      </c>
      <c r="E29" s="28" t="inlineStr">
        <is>
          <t>11 distinct answers.</t>
        </is>
      </c>
    </row>
    <row r="30">
      <c r="A30" s="35" t="inlineStr">
        <is>
          <t>Overlapping OpenRouter rows with different cost between exports</t>
        </is>
      </c>
      <c r="B30" s="73" t="n">
        <v>0</v>
      </c>
      <c r="C30" s="73" t="n">
        <v>0</v>
      </c>
      <c r="D30" s="74" t="str">
        <f>IF(ABS(B30-C30)&lt;=0,"Match","Differs")</f>
        <v>Match</v>
      </c>
      <c r="E30" s="29" t="inlineStr"/>
    </row>
    <row r="31">
      <c r="A31" s="17" t="inlineStr">
        <is>
          <t>Fable answers via OpenRouter, US$</t>
        </is>
      </c>
      <c r="B31" s="71" t="n">
        <v>0.5501</v>
      </c>
      <c r="C31" s="71" t="n">
        <v>0.55</v>
      </c>
      <c r="D31" s="33" t="str">
        <f>IF(ABS(B31-C31)&lt;=0.01,"Match","Differs")</f>
        <v>Match</v>
      </c>
      <c r="E31" s="28" t="inlineStr"/>
    </row>
    <row r="32">
      <c r="A32" s="21" t="inlineStr">
        <is>
          <t>Case drafting, US$</t>
        </is>
      </c>
      <c r="B32" s="73" t="n">
        <v>1.5186</v>
      </c>
      <c r="C32" s="73" t="n">
        <v>1.52</v>
      </c>
      <c r="D32" s="34" t="str">
        <f>IF(ABS(B32-C32)&lt;=0.01,"Match","Differs")</f>
        <v>Match</v>
      </c>
      <c r="E32" s="29" t="inlineStr"/>
    </row>
    <row r="33">
      <c r="A33" s="17" t="inlineStr">
        <is>
          <t>Claude judge technical retries (count)</t>
        </is>
      </c>
      <c r="B33" s="71" t="n">
        <v>7</v>
      </c>
      <c r="C33" s="71" t="n">
        <v>7</v>
      </c>
      <c r="D33" s="72" t="str">
        <f>IF(ABS(B33-C33)&lt;=0,"Match","Differs")</f>
        <v>Match</v>
      </c>
      <c r="E33" s="28" t="inlineStr"/>
    </row>
    <row r="35">
      <c r="A35" s="5" t="inlineStr">
        <is>
          <t>Discrepancies and clarifications found while building</t>
        </is>
      </c>
    </row>
    <row r="36" ht="30" customHeight="1">
      <c r="A36" s="4" t="inlineStr">
        <is>
          <t>1. Reviewer file lists four returns (Reviewer-01 to -04) from three people: two packets (D1-Core, D1-Optional) came from the same person, presented here as Reviewer 2. 15 comparisons cover 11 unique answers, 2 of them seen by more than one reviewer.</t>
        </is>
      </c>
    </row>
    <row r="37" ht="30" customHeight="1">
      <c r="A37" s="4" t="inlineStr">
        <is>
          <t>2. AI judge and human disagree on severity for the three flagged Claude answers: judge rated two Major and one Critical; the human confirmation rated the first two Critical and the third None/acceptable. Both agree the first two are not acceptable.</t>
        </is>
      </c>
    </row>
    <row r="38" ht="30" customHeight="1">
      <c r="A38" s="4" t="inlineStr">
        <is>
          <t>3. The two human-confirmed Critical Claude answers were released with a warning under the checks (arithmetic check not applicable: no weighted score was reported). The one flagged answer the human found acceptable was blocked.</t>
        </is>
      </c>
    </row>
    <row r="39" ht="30" customHeight="1">
      <c r="A39" s="4" t="inlineStr">
        <is>
          <t>4. Primary AI judge run records (J001 to J096) are NOT_RUN placeholders with null cost and model; cost comes only from the billing export (165 DeepSeek calls for 96 judgments plus practice, because OpenCode made several calls per judgment).</t>
        </is>
      </c>
    </row>
    <row r="40" ht="30" customHeight="1">
      <c r="A40" s="4" t="inlineStr">
        <is>
          <t>5. OpenCode auxiliary Gemini 3.8 Flash calls (97 in the primary-judge window, US$0.45; 3 more on Sep 16 and Sep 18, US$0.008) are interface overhead and were not in the earlier verified totals; shown as their own lines.</t>
        </is>
      </c>
    </row>
    <row r="41" ht="30" customHeight="1">
      <c r="A41" s="4" t="inlineStr">
        <is>
          <t>6. Billing vs run records: Kimi kept 12 runs US$1.01 but was billed 15 calls US$1.76; the kept W3-02 full-text record says attempt 1 although 3 earlier attempts (output cut at the limit, empty) were billed. Claude judge kept US$0.99, replaced-attempt records US$0.15, billed 61 calls US$1.34.</t>
        </is>
      </c>
    </row>
    <row r="42" ht="30" customHeight="1">
      <c r="A42" s="4" t="inlineStr">
        <is>
          <t>7. The DeepSeek call via OpenCode at 05:33 UTC on Sep 18 (US$0.016, about 16k prompt tokens) matches a primary-judge prompt and is attributed to the J024 re-collection, not to the Claude judge.</t>
        </is>
      </c>
    </row>
    <row r="43" ht="30" customHeight="1">
      <c r="A43" s="4" t="inlineStr">
        <is>
          <t>8. The earlier Sep 18 export (openrouter_activity_2026-09-18.csv) is superseded by the _2 export for Sep 17 to 18 (identical costs on all overlapping rows); it is still used for the 4 Sep 16 rows (2 Fable answers, 2 OpenCode calls) that the _2 export does not cover.</t>
        </is>
      </c>
    </row>
    <row r="44" ht="30" customHeight="1">
      <c r="A44" s="4" t="inlineStr">
        <is>
          <t>9. The Claude extension has 48 answers per model (24 cases x 2 repetitions; 96 in total across Fable and Haiku), not 96 per model. The AI judge and confirmation scoring covered the 48 answers on the 12 scored cases (24 per model).</t>
        </is>
      </c>
    </row>
    <row r="45" ht="30" customHeight="1">
      <c r="A45" s="4" t="inlineStr">
        <is>
          <t>10. 25_CLAUDE_MATCHED_SCORING_EXTENSION/researcher_scores.json has all 48 entries PENDING: Claude answers were not human-scored, apart from the 3 confirmation scores.</t>
        </is>
      </c>
    </row>
    <row r="46" ht="30" customHeight="1">
      <c r="A46" s="4" t="inlineStr">
        <is>
          <t>11. Supplement S11 lists four arithmetic block causes, but they belong to two answers (one attendance answer failed three quantities). Both carried correct values with unit labels outside the allow list ('class hours', 'course-grade points').</t>
        </is>
      </c>
    </row>
    <row r="47" ht="30" customHeight="1">
      <c r="A47" s="4" t="inlineStr">
        <is>
          <t>12. Claude judge replaced attempts: 7 first-attempt records kept; 5 have a cost and 2 were technical failures (empty reply / HTTP 429) with no recorded cost, so run records (US$1.14, 55 records) understate the billed total (61 calls).</t>
        </is>
      </c>
    </row>
    <row r="48" ht="30" customHeight="1">
      <c r="A48" s="4" t="inlineStr">
        <is>
          <t>13. Kimi K3 runs were served by two providers (InferenceNet 7, Morph 5); latency differences partly reflect routing.</t>
        </is>
      </c>
    </row>
    <row r="49" ht="30" customHeight="1">
      <c r="A49" s="4" t="inlineStr">
        <is>
          <t>14. OpenRouter lists the DeepSeek provider for the primary judge as Baidu; the Claude judge used Baidu (44) and Sail Research (4).</t>
        </is>
      </c>
    </row>
    <row r="50" ht="30" customHeight="1">
      <c r="A50" s="4" t="inlineStr">
        <is>
          <t>15. Timing uses S8 'primary' medians (flagged items excluded, n = 5); all-recorded medians differ for Astra, direct (114 vs 98 s); Astra, checked (193 vs 158 s); Luna, checked (108 vs 120 s).</t>
        </is>
      </c>
    </row>
  </sheetData>
  <mergeCells count="15">
    <mergeCell ref="A39:E39"/>
    <mergeCell ref="A50:E50"/>
    <mergeCell ref="A48:E48"/>
    <mergeCell ref="A43:E43"/>
    <mergeCell ref="A38:E38"/>
    <mergeCell ref="A42:E42"/>
    <mergeCell ref="A41:E41"/>
    <mergeCell ref="A49:E49"/>
    <mergeCell ref="A47:E47"/>
    <mergeCell ref="A45:E45"/>
    <mergeCell ref="A37:E37"/>
    <mergeCell ref="A46:E46"/>
    <mergeCell ref="A36:E36"/>
    <mergeCell ref="A44:E44"/>
    <mergeCell ref="A40:E40"/>
  </mergeCells>
  <pageMargins left="0.75" right="0.75" top="1" bottom="1" header="0.5" footer="0.5"/>
  <pageSetup orientation="landscape" paperSize="9" fitToHeight="0" fitToWidth="1"/>
</worksheet>
</file>

<file path=xl/worksheets/sheet13.xml><?xml version="1.0" encoding="utf-8"?>
<worksheet xmlns="http://schemas.openxmlformats.org/spreadsheetml/2006/main">
  <sheetPr>
    <tabColor rgb="008A94A6"/>
    <outlinePr summaryBelow="1" summaryRight="1"/>
    <pageSetUpPr fitToPage="1"/>
  </sheetPr>
  <dimension ref="A1:C28"/>
  <sheetViews>
    <sheetView showGridLines="0" workbookViewId="0">
      <pane ySplit="3" topLeftCell="A4" activePane="bottomLeft" state="frozen"/>
      <selection pane="bottomLeft" activeCell="A1" sqref="A1"/>
    </sheetView>
  </sheetViews>
  <sheetFormatPr baseColWidth="8" defaultRowHeight="15"/>
  <cols>
    <col width="30" customWidth="1" min="1" max="1"/>
    <col width="90" customWidth="1" min="2" max="2"/>
    <col width="30" customWidth="1" min="3" max="3"/>
  </cols>
  <sheetData>
    <row r="1" ht="24" customHeight="1">
      <c r="A1" s="1" t="inlineStr">
        <is>
          <t>Data dictionary</t>
        </is>
      </c>
    </row>
    <row r="2">
      <c r="A2" s="2" t="inlineStr">
        <is>
          <t>Fields used across the workbook.</t>
        </is>
      </c>
    </row>
    <row r="4" ht="30" customHeight="1">
      <c r="A4" s="15" t="inlineStr">
        <is>
          <t>Field</t>
        </is>
      </c>
      <c r="B4" s="16" t="inlineStr">
        <is>
          <t>Definition</t>
        </is>
      </c>
      <c r="C4" s="16" t="inlineStr">
        <is>
          <t>Sheets</t>
        </is>
      </c>
    </row>
    <row r="5">
      <c r="A5" s="17" t="inlineStr">
        <is>
          <t>Condition</t>
        </is>
      </c>
      <c r="B5" s="41" t="inlineStr">
        <is>
          <t>Model x release route: Astra/Luna, direct or checked.</t>
        </is>
      </c>
      <c r="C5" s="28" t="inlineStr">
        <is>
          <t>Primary outcomes, Workflows, Timing</t>
        </is>
      </c>
    </row>
    <row r="6">
      <c r="A6" s="21" t="inlineStr">
        <is>
          <t>Answers scheduled</t>
        </is>
      </c>
      <c r="B6" s="42" t="inlineStr">
        <is>
          <t>All answers in a condition (48 = 24 cases x 2 repetitions).</t>
        </is>
      </c>
      <c r="C6" s="29" t="inlineStr">
        <is>
          <t>Primary outcomes, Sensitivity</t>
        </is>
      </c>
    </row>
    <row r="7">
      <c r="A7" s="17" t="inlineStr">
        <is>
          <t>Human-scored</t>
        </is>
      </c>
      <c r="B7" s="41" t="inlineStr">
        <is>
          <t>Answers with a locked researcher score (24 per condition).</t>
        </is>
      </c>
      <c r="C7" s="28" t="inlineStr">
        <is>
          <t>Primary outcomes</t>
        </is>
      </c>
    </row>
    <row r="8">
      <c r="A8" s="21" t="inlineStr">
        <is>
          <t>Acceptable</t>
        </is>
      </c>
      <c r="B8" s="42" t="inlineStr">
        <is>
          <t>Scored answer with no serious error and no undecided criterion.</t>
        </is>
      </c>
      <c r="C8" s="29" t="inlineStr">
        <is>
          <t>All</t>
        </is>
      </c>
    </row>
    <row r="9">
      <c r="A9" s="17" t="inlineStr">
        <is>
          <t>Serious</t>
        </is>
      </c>
      <c r="B9" s="41" t="inlineStr">
        <is>
          <t>Major or Critical severity.</t>
        </is>
      </c>
      <c r="C9" s="28" t="inlineStr">
        <is>
          <t>All</t>
        </is>
      </c>
    </row>
    <row r="10">
      <c r="A10" s="21" t="inlineStr">
        <is>
          <t>Useful releases</t>
        </is>
      </c>
      <c r="B10" s="42" t="inlineStr">
        <is>
          <t>Acceptable answers released (direct release, or checked release with warning).</t>
        </is>
      </c>
      <c r="C10" s="29" t="inlineStr">
        <is>
          <t>Primary outcomes, Workflows</t>
        </is>
      </c>
    </row>
    <row r="11">
      <c r="A11" s="17" t="inlineStr">
        <is>
          <t>Useful rate, of read / scheduled</t>
        </is>
      </c>
      <c r="B11" s="41" t="inlineStr">
        <is>
          <t>Useful releases divided by answers read (30) or scheduled (48).</t>
        </is>
      </c>
      <c r="C11" s="28" t="inlineStr">
        <is>
          <t>Primary outcomes</t>
        </is>
      </c>
    </row>
    <row r="12">
      <c r="A12" s="21" t="inlineStr">
        <is>
          <t>Interval low/high</t>
        </is>
      </c>
      <c r="B12" s="42" t="inlineStr">
        <is>
          <t>Case-cluster percentile bootstrap interval for useful release over scheduled answers.</t>
        </is>
      </c>
      <c r="C12" s="29" t="inlineStr">
        <is>
          <t>Primary outcomes, Workflows</t>
        </is>
      </c>
    </row>
    <row r="13">
      <c r="A13" s="17" t="inlineStr">
        <is>
          <t>Acceptable withheld: routed/blocked</t>
        </is>
      </c>
      <c r="B13" s="41" t="inlineStr">
        <is>
          <t>Unnecessary withholding split by decision type.</t>
        </is>
      </c>
      <c r="C13" s="28" t="inlineStr">
        <is>
          <t>Primary outcomes, Workflows, Checks</t>
        </is>
      </c>
    </row>
    <row r="14">
      <c r="A14" s="21" t="inlineStr">
        <is>
          <t>Release coverage</t>
        </is>
      </c>
      <c r="B14" s="42" t="inlineStr">
        <is>
          <t>Released (with or without warning) divided by scheduled.</t>
        </is>
      </c>
      <c r="C14" s="29" t="inlineStr">
        <is>
          <t>Primary outcomes</t>
        </is>
      </c>
    </row>
    <row r="15">
      <c r="A15" s="32" t="inlineStr">
        <is>
          <t>Check result: Pass/Fail/Triggered/Not applicable</t>
        </is>
      </c>
      <c r="B15" s="41" t="inlineStr">
        <is>
          <t>Status of each check per answer; arithmetic counted per quantity.</t>
        </is>
      </c>
      <c r="C15" s="28" t="inlineStr">
        <is>
          <t>Checks, Claude extension</t>
        </is>
      </c>
    </row>
    <row r="16">
      <c r="A16" s="21" t="inlineStr">
        <is>
          <t>Direction vs primary</t>
        </is>
      </c>
      <c r="B16" s="42" t="inlineStr">
        <is>
          <t>Formula: 'Unchanged' if checked useful releases &lt;= direct for both models and no serious answer released.</t>
        </is>
      </c>
      <c r="C16" s="29" t="inlineStr">
        <is>
          <t>Sensitivity</t>
        </is>
      </c>
    </row>
    <row r="17">
      <c r="A17" s="17" t="inlineStr">
        <is>
          <t>Decision time (s)</t>
        </is>
      </c>
      <c r="B17" s="41" t="inlineStr">
        <is>
          <t>Seconds from opening the answer to accept/edit/refer (clock 1).</t>
        </is>
      </c>
      <c r="C17" s="28" t="inlineStr">
        <is>
          <t>Timing</t>
        </is>
      </c>
    </row>
    <row r="18">
      <c r="A18" s="21" t="inlineStr">
        <is>
          <t>Correction time (s)</t>
        </is>
      </c>
      <c r="B18" s="42" t="inlineStr">
        <is>
          <t>Active editing seconds after the decision, excluding logged pauses (clock 2).</t>
        </is>
      </c>
      <c r="C18" s="29" t="inlineStr">
        <is>
          <t>Timing</t>
        </is>
      </c>
    </row>
    <row r="19">
      <c r="A19" s="17" t="inlineStr">
        <is>
          <t>Check overrides</t>
        </is>
      </c>
      <c r="B19" s="41" t="inlineStr">
        <is>
          <t>Timed items where the researcher's handling differed from the check decision.</t>
        </is>
      </c>
      <c r="C19" s="28" t="inlineStr">
        <is>
          <t>Timing</t>
        </is>
      </c>
    </row>
    <row r="20">
      <c r="A20" s="21" t="inlineStr">
        <is>
          <t>Raw agreement</t>
        </is>
      </c>
      <c r="B20" s="42" t="inlineStr">
        <is>
          <t>(both yes + both no) / n.</t>
        </is>
      </c>
      <c r="C20" s="29" t="inlineStr">
        <is>
          <t>Agreement</t>
        </is>
      </c>
    </row>
    <row r="21">
      <c r="A21" s="17" t="inlineStr">
        <is>
          <t>Severity exact</t>
        </is>
      </c>
      <c r="B21" s="41" t="inlineStr">
        <is>
          <t>Same severity grade (None/Minor/Major/Critical).</t>
        </is>
      </c>
      <c r="C21" s="28" t="inlineStr">
        <is>
          <t>Agreement</t>
        </is>
      </c>
    </row>
    <row r="22">
      <c r="A22" s="21" t="inlineStr">
        <is>
          <t>Judge: acceptable</t>
        </is>
      </c>
      <c r="B22" s="42" t="inlineStr">
        <is>
          <t>AI judge verdict (DeepSeek V4 Pro); AI-judged, not a human score.</t>
        </is>
      </c>
      <c r="C22" s="29" t="inlineStr">
        <is>
          <t>Agreement, Claude extension</t>
        </is>
      </c>
    </row>
    <row r="23">
      <c r="A23" s="17" t="inlineStr">
        <is>
          <t>Evidence</t>
        </is>
      </c>
      <c r="B23" s="41" t="inlineStr">
        <is>
          <t>Excerpt = frozen excerpt used in the main study; Full text = whole retained source document.</t>
        </is>
      </c>
      <c r="C23" s="28" t="inlineStr">
        <is>
          <t>Document extension</t>
        </is>
      </c>
    </row>
    <row r="24">
      <c r="A24" s="21" t="inlineStr">
        <is>
          <t>Latency (s)</t>
        </is>
      </c>
      <c r="B24" s="42" t="inlineStr">
        <is>
          <t>Send to finish time for one API request.</t>
        </is>
      </c>
      <c r="C24" s="29" t="inlineStr">
        <is>
          <t>Document extension</t>
        </is>
      </c>
    </row>
    <row r="25">
      <c r="A25" s="17" t="inlineStr">
        <is>
          <t>Input / output / reasoning tokens</t>
        </is>
      </c>
      <c r="B25" s="41" t="inlineStr">
        <is>
          <t>OpenRouter-reported usage for the request.</t>
        </is>
      </c>
      <c r="C25" s="28" t="inlineStr">
        <is>
          <t>Document extension</t>
        </is>
      </c>
    </row>
    <row r="26">
      <c r="A26" s="21" t="inlineStr">
        <is>
          <t>Quotations / found word for word</t>
        </is>
      </c>
      <c r="B26" s="42" t="inlineStr">
        <is>
          <t>Quotations in the answer and how many appear verbatim in the supplied attachment.</t>
        </is>
      </c>
      <c r="C26" s="29" t="inlineStr">
        <is>
          <t>Document extension</t>
        </is>
      </c>
    </row>
    <row r="27">
      <c r="A27" s="17" t="inlineStr">
        <is>
          <t>Cost (US$)</t>
        </is>
      </c>
      <c r="B27" s="41" t="inlineStr">
        <is>
          <t>OpenRouter-reported cost (usage.cost or activity cost_total).</t>
        </is>
      </c>
      <c r="C27" s="28" t="inlineStr">
        <is>
          <t>Document extension, Costs and time</t>
        </is>
      </c>
    </row>
    <row r="28">
      <c r="A28" s="21" t="inlineStr">
        <is>
          <t>Masked answer ID</t>
        </is>
      </c>
      <c r="B28" s="42" t="inlineStr">
        <is>
          <t>Researcher-facing blind label (e.g. R117). Model identity is never paired with it here.</t>
        </is>
      </c>
      <c r="C28" s="29" t="inlineStr">
        <is>
          <t>Claude extension</t>
        </is>
      </c>
    </row>
  </sheetData>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build_27_workbook.py</dc:creator>
  <dc:title xmlns:dc="http://purl.org/dc/elements/1.1/">Assessment-control capstone: analysis workbook</dc:title>
  <dcterms:created xmlns:dcterms="http://purl.org/dc/terms/" xmlns:xsi="http://www.w3.org/2001/XMLSchema-instance" xsi:type="dcterms:W3CDTF">2026-09-22T08:29:00Z</dcterms:created>
  <dcterms:modified xmlns:dcterms="http://purl.org/dc/terms/" xmlns:xsi="http://www.w3.org/2001/XMLSchema-instance" xsi:type="dcterms:W3CDTF">2026-09-22T08:29:00Z</dcterms:modified>
</cp:coreProperties>
</file>